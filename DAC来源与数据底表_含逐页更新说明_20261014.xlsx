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User\Desktop\ppt改动\"/>
    </mc:Choice>
  </mc:AlternateContent>
  <bookViews>
    <workbookView xWindow="0" yWindow="0" windowWidth="38400" windowHeight="17610" activeTab="1"/>
  </bookViews>
  <sheets>
    <sheet name="逐页更新说明" sheetId="1" r:id="rId1"/>
    <sheet name="来源核验底表" sheetId="2" r:id="rId2"/>
    <sheet name="项目统一底表" sheetId="3" r:id="rId3"/>
    <sheet name="企业技术对照" sheetId="4" r:id="rId4"/>
    <sheet name="数值与公式" sheetId="5" r:id="rId5"/>
  </sheets>
  <calcPr calcId="162913"/>
</workbook>
</file>

<file path=xl/calcChain.xml><?xml version="1.0" encoding="utf-8"?>
<calcChain xmlns="http://schemas.openxmlformats.org/spreadsheetml/2006/main">
  <c r="B32" i="5" l="1"/>
  <c r="B31" i="5"/>
  <c r="B27" i="5"/>
  <c r="B26" i="5"/>
  <c r="B23" i="5"/>
  <c r="B18" i="5"/>
  <c r="B17" i="5"/>
  <c r="B10" i="5"/>
  <c r="B9" i="5"/>
  <c r="B6" i="5"/>
  <c r="B7" i="5" s="1"/>
</calcChain>
</file>

<file path=xl/sharedStrings.xml><?xml version="1.0" encoding="utf-8"?>
<sst xmlns="http://schemas.openxmlformats.org/spreadsheetml/2006/main" count="1024" uniqueCount="563">
  <si>
    <t>页码</t>
  </si>
  <si>
    <t>原批注 / 核查任务</t>
  </si>
  <si>
    <t>实际修改</t>
  </si>
  <si>
    <t>主要来源 ID</t>
  </si>
  <si>
    <t>未解决问题 / 采用处理</t>
  </si>
  <si>
    <t>虚框重排；核查黄色文献与表述</t>
  </si>
  <si>
    <t>换为UNEP原报告Figure ES1上部示意图，添加中文解释；IEA图改为可编辑历史情景柱图，仅保留2030/2050可核值。</t>
  </si>
  <si>
    <t>S01,S02</t>
  </si>
  <si>
    <t>未把2022情景当2026预测；当前全球实捕量未给可靠汇总，已删除</t>
  </si>
  <si>
    <t>更新欧洲DAC相关内容</t>
  </si>
  <si>
    <t>核对ENV/TEC/SEC与模型限制；保留2025原报告三情景假设对比，并展示TEC原图及图例；去掉2060所有情景必然主导的绝对结论，加入部署条件。</t>
  </si>
  <si>
    <t>S03</t>
  </si>
  <si>
    <t>未取得同口径更新模型；明确历史模型，并非政策目标</t>
  </si>
  <si>
    <t>核查哪些Hub停止并更新美国</t>
  </si>
  <si>
    <t>重排为原计划、资助阶段、2025/2026变化和STRATOS最新正式进度；区分初期资助、最高支持与实际拨付。</t>
  </si>
  <si>
    <t>S04–S09</t>
  </si>
  <si>
    <t>资助保留依赖Reuters正文；未取得完整DOE保留清单及最新合同/拨款明细</t>
  </si>
  <si>
    <t>更新加拿大</t>
  </si>
  <si>
    <t>协议仍按官方可见草案表述；删除全球首个；ITC改为2022–2035/2036–2040；企业承购独立呈现并补2026核证事件。</t>
  </si>
  <si>
    <t>S10–S13</t>
  </si>
  <si>
    <t>未查到联邦DACCS最终版；首批信用吨数未披露</t>
  </si>
  <si>
    <t>更新欧盟认证</t>
  </si>
  <si>
    <t>分清框架、治理实施规则、永久方法学及认证体系认可；补买家俱乐部实际节点，删除把采购目标写成交结果的风险。</t>
  </si>
  <si>
    <t>S14–S18</t>
  </si>
  <si>
    <t>不据方法通过宣称项目已获证；认可表仍为评估中</t>
  </si>
  <si>
    <t>补XPRIZE、CarbonX、2.0及官方竞赛，照片/时间/金额/团队</t>
  </si>
  <si>
    <t>加入四项可比较活动、真实官方素材、明确币种；展示各项2–3支相关团队与获奖阶段，完整信息置备注及底表。</t>
  </si>
  <si>
    <t>S19–S23,S36,S38</t>
  </si>
  <si>
    <t>DOE页面停留Develop阶段，最终结果未确认；仅列已确认半决赛支持；官方阶段名单图替代未取得的活动照片</t>
  </si>
  <si>
    <t>提炼文献观点；识别各公司并颜色分类</t>
  </si>
  <si>
    <t>重新制作原生分类表与红蓝黄紫灰图例；原图35个标识逐个记录于企业对照表，区分材料、再生与开发方角色；NaOH修为KOH。</t>
  </si>
  <si>
    <t>S24–S28</t>
  </si>
  <si>
    <t>RSC全文403，仅元数据核验；本页行业判断改据已读DOE全文；部分原图标识/角色列灰色待确认</t>
  </si>
  <si>
    <t>更新全球企业统计</t>
  </si>
  <si>
    <t>保留DOE2025-01历史快照，重做国家图和介质图；明确介质分母120、22家未知，固体并非全是胺；移除未经同口径验证的区域二次汇总。</t>
  </si>
  <si>
    <t>S25</t>
  </si>
  <si>
    <t>未查到可靠同口径新版；未声称已更新全球总数；不反推取整比例的精确家数</t>
  </si>
  <si>
    <t>更新全球示范项目</t>
  </si>
  <si>
    <t>统一项目名称、地点、设计tCO₂/年与状态；Mammoth改运行；Concho修规模与规划状态；新增STRATOS及Alpha；替换Mammoth及Tracy官方照片，地图信息改为更清楚的地点列。</t>
  </si>
  <si>
    <t>S09,S13,S27–S33</t>
  </si>
  <si>
    <t>Colorado示范2026状态未确认；CE现官网未确认1500能力；Concho未取得施工/取消正式证据；各项目实际年度值均不猜测</t>
  </si>
  <si>
    <t>无批注；核查成本和时间口径</t>
  </si>
  <si>
    <t>原图无法精确对应其2023/2025图源，换用BNEF2025-08-06公开原图对应的三个数值并重绘原生柱图；删除未来3年必然快速下降。</t>
  </si>
  <si>
    <t>S34</t>
  </si>
  <si>
    <t>完整付费报告、价格基年与运输封存边界未公开，不按净移除成本或售价解释</t>
  </si>
  <si>
    <t>无批注；修复句子并衔接</t>
  </si>
  <si>
    <t>修复残句，以可编辑流程区分DACCS净移除与CO₂制燃料循环；说明绿电、利用率及生命周期排放约束。</t>
  </si>
  <si>
    <t>S02,S25,S35</t>
  </si>
  <si>
    <t>原示意图出处不明且密集，改为范围更明确的原生流程；不提供未经核实数值</t>
  </si>
  <si>
    <t>来源ID</t>
  </si>
  <si>
    <t>主题 / 来源名称</t>
  </si>
  <si>
    <t>信息或数值</t>
  </si>
  <si>
    <t>单位</t>
  </si>
  <si>
    <t>统计口径 / 定位</t>
  </si>
  <si>
    <t>事件日期</t>
  </si>
  <si>
    <t>来源发布/更新日期</t>
  </si>
  <si>
    <t>核查截止日</t>
  </si>
  <si>
    <t>来源链接或DOI</t>
  </si>
  <si>
    <t>核验状态</t>
  </si>
  <si>
    <t>PPT用途</t>
  </si>
  <si>
    <t>日期原文 / 补充</t>
  </si>
  <si>
    <t>数据统计截止 / 情景版本</t>
  </si>
  <si>
    <t>S01</t>
  </si>
  <si>
    <t>1</t>
  </si>
  <si>
    <t>UNEP, Limiting Overshoot: Navigating exceedance of 1.5°C and pathways towards return</t>
  </si>
  <si>
    <t>长期温升将越过1.5°C；限制峰值和超调时长需要深度减排与持续净负CO₂排放。采用Figure ES1上部示意图，明确为示意而非精确预测。</t>
  </si>
  <si>
    <t>°C</t>
  </si>
  <si>
    <t>全球；相对1850–1900年；报告pp.2–4，PDF pp.15–17</t>
  </si>
  <si>
    <t>https://wedocs.unep.org/bitstreams/fedb12d1-54de-4ab7-bed9-6e8d9522f8b4/download</t>
  </si>
  <si>
    <t>正文已核验</t>
  </si>
  <si>
    <t>正文 / 图表 / 备注</t>
  </si>
  <si>
    <t>2026-09-02</t>
  </si>
  <si>
    <t>不适用或未明确，见事件/版本</t>
  </si>
  <si>
    <t>S02</t>
  </si>
  <si>
    <t>1,11</t>
  </si>
  <si>
    <t>IEA, Direct Air Capture 2022: A key technology for net zero</t>
  </si>
  <si>
    <t>2022版NZE情景：2030年&gt;85 Mt/年，2050年约980 Mt/年；当时约0.01 Mt/年。仅保留有明确原始出处的2030/2050值，删除来源混杂的2040年600 Mt及无年份“当前”。</t>
  </si>
  <si>
    <t>MtCO₂/年</t>
  </si>
  <si>
    <t>全球DAC总捕集量，含利用和封存；历史情景，不是净移除量或当前预测</t>
  </si>
  <si>
    <t>https://www.iea.org/reports/direct-air-capture-2022</t>
  </si>
  <si>
    <t>2022-04-01</t>
  </si>
  <si>
    <t>2022版NZE，未来为情景年份</t>
  </si>
  <si>
    <t>2</t>
  </si>
  <si>
    <t>Trompoukis et al., The role of Direct Air Capture technologies in the EU’s decarbonisation effort, PE 772.474</t>
  </si>
  <si>
    <t>ENV/TEC/SEC为NEGEM模型情景。2050年全部CDR需求650–1100 Mt/年。2040年ENV/SEC DACCS为40–67 Mt/年。模型仅纳入液体DACCS，受能源与地质封存约束。TEC高部署假设被报告认为过于乐观。</t>
  </si>
  <si>
    <t>EU-27；pp.89–95，Figure13；CO₂而非全部温室气体</t>
  </si>
  <si>
    <t>2025-06</t>
  </si>
  <si>
    <t>https://www.europarl.europa.eu/RegData/etudes/STUD/2025/772474/ECTI_STU(2025)772474_EN.pdf</t>
  </si>
  <si>
    <t>模型输入与情景版本见统计口径</t>
  </si>
  <si>
    <t>S04</t>
  </si>
  <si>
    <t>3</t>
  </si>
  <si>
    <t>DOE, Regional Direct Air Capture Hubs</t>
  </si>
  <si>
    <t>原始计划拨款35亿美元，支持四个区域中心，每个具有至少100万tCO₂/年潜力；2023首轮仅选定两个大型建设中心。</t>
  </si>
  <si>
    <t>USD；tCO₂/年</t>
  </si>
  <si>
    <t>原始法定计划与首轮遴选；不能表示四个已建成</t>
  </si>
  <si>
    <t>2023-08</t>
  </si>
  <si>
    <t>https://www.energy.gov/oced/DACHubs</t>
  </si>
  <si>
    <t>S05</t>
  </si>
  <si>
    <t>Battelle, Project Cypress DAC Hub Team Awarded Funding</t>
  </si>
  <si>
    <t>Battelle牵头，Climeworks与Heirloom提供技术。首阶段约5000万美元；2024公告称联邦匹配支持上限6亿美元，远期100万吨/年。</t>
  </si>
  <si>
    <t>USD</t>
  </si>
  <si>
    <t>初期资助与潜在后续支持；不是已拨付总额</t>
  </si>
  <si>
    <t>https://www.battelle.org/insights/newsroom/press-release-details/project-cypress-dac-hub-team-awarded-funding-from-u.s.-department-of-energy</t>
  </si>
  <si>
    <t>2024-03-27</t>
  </si>
  <si>
    <t>S06</t>
  </si>
  <si>
    <t>1PointFive, South Texas DAC Hub Awarded U.S. DOE Funding</t>
  </si>
  <si>
    <t>South Texas Hub位于King Ranch，首厂规划50万t/年，未来扩至百万吨以上。最高5亿美元，首笔5000万美元；区域网络扩展可能提高至6.5亿美元。</t>
  </si>
  <si>
    <t>分期资助；远期扩张；与Ector County STRATOS为不同地点</t>
  </si>
  <si>
    <t>https://www.1pointfive.com/news/1pointfive-south-texas-dac-hub-awarded-us-doe-funding</t>
  </si>
  <si>
    <t>2024-09-12</t>
  </si>
  <si>
    <t>S07</t>
  </si>
  <si>
    <t>Reuters, US Energy Department restores funding to carbon removal projects</t>
  </si>
  <si>
    <t>报道DOE确认Cypress与South Texas列入保留资助清单。仅支持保留资助，不等于恢复全部拨款或完成建设。报道Cypress当前award为5.5亿美元，与2024潜在上限不同，未合并。</t>
  </si>
  <si>
    <t>不适用</t>
  </si>
  <si>
    <t>DOE向国会清单；资助保留口径</t>
  </si>
  <si>
    <t>https://www.reuters.com/legal/litigation/us-energy-department-restores-funding-carbon-removal-projects-2026-04-17/</t>
  </si>
  <si>
    <t>二手正文已核验；未取得完整保留清单</t>
  </si>
  <si>
    <t>2026-04-17</t>
  </si>
  <si>
    <t>S08</t>
  </si>
  <si>
    <t>Grant Faber / DOE Alumni Network, The Status of DOE’s $3.5 Billion Regional DAC Hubs Program</t>
  </si>
  <si>
    <t>多项早期Hub已终止，两大Build Hub保留。但作者跟踪称截至5月末未见近期合同修改或新增资金。10.4亿美元被再分配的判断需回到预算原文，正文不使用该金额。</t>
  </si>
  <si>
    <t>非DOE官方立场；用于揭示资助保留与实际推进差异</t>
  </si>
  <si>
    <t>https://doealumninetwork.substack.com/p/the-status-of-does-35-billion-regional</t>
  </si>
  <si>
    <t>二手分析正文已核验；不作为已拨付金额依据</t>
  </si>
  <si>
    <t>2026-07-29</t>
  </si>
  <si>
    <t>S09</t>
  </si>
  <si>
    <t>3,9</t>
  </si>
  <si>
    <t>Occidental Q2 2026 earnings call, official hosted transcript, p.4</t>
  </si>
  <si>
    <t>STRATOS第3、4列车仍在维修及调试；管理层预期2026年底开始全厂调试，2027年转入运行。</t>
  </si>
  <si>
    <t>管理层前瞻指引；不能记为已投运</t>
  </si>
  <si>
    <t>https://www.oxy.com/siteassets/documents/investors/quarterly-earnings/oxy2q26transcript.pdf</t>
  </si>
  <si>
    <t>2026-08-06</t>
  </si>
  <si>
    <t>S10</t>
  </si>
  <si>
    <t>4</t>
  </si>
  <si>
    <t>ECCC, Federal offset protocol: Direct air carbon dioxide capture and geological storage</t>
  </si>
  <si>
    <t>官方页面仍展示preliminary draft，征求意见截至2025-03-28。仅空气源CO₂陆上地质封存，须有省/地区监管框架，排除点源、燃料/混凝土产品和EOR。未查到正式最终协议。</t>
  </si>
  <si>
    <t>协议草案；不能把未来可签发信用写成已实施</t>
  </si>
  <si>
    <t>https://www.canada.ca/en/environment-climate-change/services/climate-change/pricing-pollution-how-it-will-work/output-based-pricing-system/federal-greenhouse-gas-offset-system/protocols/direct-air-carbon-dioxide-capture-geological-storage.html</t>
  </si>
  <si>
    <t>正文已核验；未查到最终正式版</t>
  </si>
  <si>
    <t>2025-08-21</t>
  </si>
  <si>
    <t>S11</t>
  </si>
  <si>
    <t>CRA, Calculating the CCUS Investment Tax Credit</t>
  </si>
  <si>
    <t>2022–2035：DAC捕集60%、其他捕集50%、运输/封存/利用37.5%；2036–2040分别30%、25%、18.75%。费率取决于劳工要求。</t>
  </si>
  <si>
    <t>%</t>
  </si>
  <si>
    <t>合格支出抵免；并非全项目总投资返还比例</t>
  </si>
  <si>
    <t>https://www.canada.ca/en/revenue-agency/services/tax/businesses/topics/corporations/business-tax-credits/clean-economy-itc/carbon-capture-itc/claiming-credit-ccus-itc/calculate.html</t>
  </si>
  <si>
    <t>2026-04-21</t>
  </si>
  <si>
    <t>S12</t>
  </si>
  <si>
    <t>Deep Sky, Founding Buyers: 10,000 Carbon Removal Credits for RBC and Microsoft</t>
  </si>
  <si>
    <t>微软与RBC首批承购合计10,000 t，十年履约；另有100万t购买选择权，不是已实现捕集。</t>
  </si>
  <si>
    <t>tCO₂</t>
  </si>
  <si>
    <t>合计承购量与可选购量分开</t>
  </si>
  <si>
    <t>https://www.deepskyclimate.com/blog/deep-sky-announces-founding-buyers</t>
  </si>
  <si>
    <t>2024-11-13</t>
  </si>
  <si>
    <t>S13</t>
  </si>
  <si>
    <t>4,9</t>
  </si>
  <si>
    <t>Deep Sky, first certified DAC carbon removal credits</t>
  </si>
  <si>
    <t>Deep Sky Alpha位于Innisfail；2025夏开始调试，2026公告首批净移除信用经Isometric核证登记，向微软与RBC供给至2034。未披露本次吨数。</t>
  </si>
  <si>
    <t>企业公告+自愿市场核证；并非加拿大联邦抵消协议签发</t>
  </si>
  <si>
    <t>https://www.deepskyclimate.com/blog/deep-sky-delivers-north-americas-first-certified-direct-air-capture-carbon-removal-credits</t>
  </si>
  <si>
    <t>2026-06-29</t>
  </si>
  <si>
    <t>S14</t>
  </si>
  <si>
    <t>5</t>
  </si>
  <si>
    <t>Regulation (EU) 2024/3012, CRCF framework</t>
  </si>
  <si>
    <t>CRCF建立永久碳移除、碳农业和产品储碳自愿认证框架。</t>
  </si>
  <si>
    <t>框架法规，不等于具体项目获证</t>
  </si>
  <si>
    <t>2024-12</t>
  </si>
  <si>
    <t>https://climate.ec.europa.eu/areas-action/carbon-removals-and-carbon-farming/carbon-removals-and-carbon-farming-crcf-regulation_en</t>
  </si>
  <si>
    <t>S15</t>
  </si>
  <si>
    <t>European Commission, Certification schemes</t>
  </si>
  <si>
    <t>治理规则引用实施条例(EU)2025/2358；要求独立定期审核、注册登记和防双重计算。官方表列Isometric、Puro Earth等申请仍处技术评估。</t>
  </si>
  <si>
    <t>2026年6–8月申请；读取截止2026-10-14；未查到本页列示体系已获正式认可</t>
  </si>
  <si>
    <t>https://climate.ec.europa.eu/areas-action/carbon-removals-and-carbon-farming/certification-schemes_en</t>
  </si>
  <si>
    <t>未标明</t>
  </si>
  <si>
    <t>S16</t>
  </si>
  <si>
    <t>European Commission, Certification methodologies / Delegated Regulation (EU) 2026/285</t>
  </si>
  <si>
    <t>首批永久碳移除方法覆盖DACCS、BioCCS、生物炭；买家俱乐部官方页称截至2026年4月已获通过。</t>
  </si>
  <si>
    <t>永久碳移除方法，与碳农业另行区分</t>
  </si>
  <si>
    <t>2026-02</t>
  </si>
  <si>
    <t>https://climate.ec.europa.eu/areas-action/carbon-removals-and-carbon-farming/certification-methodologies_en</t>
  </si>
  <si>
    <t>S17</t>
  </si>
  <si>
    <t>European Commission, EU sets voluntary standard for permanent carbon removals</t>
  </si>
  <si>
    <t>欧委会于2026-02-03通过首批方法学；净移除量、长期储存、泄漏和责任是方法学关键。</t>
  </si>
  <si>
    <t>通过日与后续审查/生效分开</t>
  </si>
  <si>
    <t>https://climate.ec.europa.eu/news-other-reads/news/eu-sets-worlds-first-voluntary-standard-permanent-carbon-removals-2026-02-03_en</t>
  </si>
  <si>
    <t>2026-02-03</t>
  </si>
  <si>
    <t>S18</t>
  </si>
  <si>
    <t>European Commission, EU CRCF Buyers Club</t>
  </si>
  <si>
    <t>2025年11月宣布，2026年5月公布初步细节；自愿买方平台，目标2026年12月前完成首批永久移除采购。9月10日举办后续网络研讨会。</t>
  </si>
  <si>
    <t>截至截止日采购目标仍属未来，不写成已成交</t>
  </si>
  <si>
    <t>https://climate.ec.europa.eu/areas-action/carbon-removals-and-carbon-farming/eu-crcf-buyers-club_en</t>
  </si>
  <si>
    <t>S19</t>
  </si>
  <si>
    <t>6</t>
  </si>
  <si>
    <t>XPRIZE Carbon Removal competition official results</t>
  </si>
  <si>
    <t>2021–2025总奖池1亿美元；Project Hajar获Air XFACTOR奖，Heirloom &amp; Carbfix和Verdox &amp; Carbfix是2022里程碑获奖团队，各100万美元。总冠军Mati为增强风化，不是DAC。</t>
  </si>
  <si>
    <t>广义CDR竞赛；不同奖项阶段分开</t>
  </si>
  <si>
    <t>https://www.xprize.org/competitions/carbonremoval</t>
  </si>
  <si>
    <t>2025-04-23</t>
  </si>
  <si>
    <t>S20</t>
  </si>
  <si>
    <t>Tencent, first CarbonX winners</t>
  </si>
  <si>
    <t>2023-03启动；2024-05-23终选13个项目，约1亿元人民币资金支持；2023–2026三年承诺2亿元是另一口径。</t>
  </si>
  <si>
    <t>CNY</t>
  </si>
  <si>
    <t>一期终选支持；涵盖CCUS/CDR，不全是DAC</t>
  </si>
  <si>
    <t>https://www.tencent.com/tencent-announces-winners-of-flagship-carbonx-program-to-combat-climate-change/</t>
  </si>
  <si>
    <t>2024-05-23</t>
  </si>
  <si>
    <t>S21</t>
  </si>
  <si>
    <t>Tencent SSV, CarbonX first-stage review and outlook</t>
  </si>
  <si>
    <t>列浙江大学柔性模块化变湿吸附装备、霖和科技干湿法DAC作为获得支持的创新案例。照片采用2024社会价值报告的浙江大学装置官方图。</t>
  </si>
  <si>
    <t>主办方案例正文存于页面内嵌数据；不引用宣传性成本目标为实测</t>
  </si>
  <si>
    <t>https://ssv.tencent.com/case/62B284BA3F5F401D8475D609298FFB00</t>
  </si>
  <si>
    <t>2024-11-15</t>
  </si>
  <si>
    <t>S22</t>
  </si>
  <si>
    <t>Tencent, CarbonX 2.0 winners announcement</t>
  </si>
  <si>
    <t>2024-12启动二期；2026-06公布16支获胜团队，共享近3000万美元支持。CDR获奖包括Aircapture、Octavia Carbon、Parallel Carbon、南京大学及Cella。展示前三个DAC技术团队，Cella为储存方。</t>
  </si>
  <si>
    <t>支持规模含不同气候赛道；不等于DAC奖金；不把Cella列成捕集设备商</t>
  </si>
  <si>
    <t>https://www.tencent.com/tencent-backs-next-gen-decarbonization-innovators-with-catalytic-funding-through-carbonx-2-0-and-advances-progress-towards-climate-goals/</t>
  </si>
  <si>
    <t>2026-06-24</t>
  </si>
  <si>
    <t>S23</t>
  </si>
  <si>
    <t>DOE, DAC Pre-Commercial Technology Prize</t>
  </si>
  <si>
    <t>2023-03-09启动，总奖额320万美元；Develop阶段七支半决赛团队各10万美元现金和5万美元技术支持，代表CNCE、Giner DAC、Holocene。官方页面未给最终获奖名单。</t>
  </si>
  <si>
    <t>DAC专项；阶段支持并非最终100万美元大奖</t>
  </si>
  <si>
    <t>https://www.energy.gov/hgeo/direct-air-capture-pre-commercial-technology-prize</t>
  </si>
  <si>
    <t>正文已核验；页面停留历史阶段，未查到可靠最终结果</t>
  </si>
  <si>
    <t>2023-12-19</t>
  </si>
  <si>
    <t>S24</t>
  </si>
  <si>
    <t>7</t>
  </si>
  <si>
    <t>Fu et al., Direct air capture technologies: innovations, integration, and pathways to scale, Chem. Soc. Rev. 2026,55,8073–8125</t>
  </si>
  <si>
    <t>作者Chuhan Fu等；DOI、卷页已用PubMed核对。RSC正文与PDF返回403，未获得全文；原时间线仅作公司识别线索，不从摘要推断全文结论。</t>
  </si>
  <si>
    <t>PubMed索引发布日期与online日期不同；不据图中年份推断企业成立时间</t>
  </si>
  <si>
    <t>https://doi.org/10.1039/D6CS00475J</t>
  </si>
  <si>
    <t>元数据核验；全文不可获取</t>
  </si>
  <si>
    <t>2026-07/08</t>
  </si>
  <si>
    <t>7,8,11</t>
  </si>
  <si>
    <t>Grant Faber, DOE FECM, Direct Air Capture: Definition and Company Analysis</t>
  </si>
  <si>
    <t>约142家企业，121浓缩CO₂、13反应耦合、8直接储存；北美81。介质图排除22家信息缺失者，分母120，约65%固体/27%液体/6%膜/2%低温无介质。固体不等于固体胺。未查到可靠同口径新版。</t>
  </si>
  <si>
    <t>家；%</t>
  </si>
  <si>
    <t>全球已注册公司，按总部所在地；各介质比例为报告取整，未反推精确家数</t>
  </si>
  <si>
    <t>2025-01</t>
  </si>
  <si>
    <t>https://www.energy.gov/sites/default/files/2025-01/FECM_Direct%20Air%20Capture%20Definition%20and%20Company%20Analysis%20Report.pdf</t>
  </si>
  <si>
    <t>全文已核验；保留2025历史快照</t>
  </si>
  <si>
    <t>2025-01（报告发布时）</t>
  </si>
  <si>
    <t>S26</t>
  </si>
  <si>
    <t>7,9</t>
  </si>
  <si>
    <t>Climeworks, direct air capture technology</t>
  </si>
  <si>
    <t>固体过滤材料吸附，热/真空再生。分类以捕集介质为主；末端Carbfix矿化封存不改变前端固体吸附分类。</t>
  </si>
  <si>
    <t>企业技术描述与DOE表交叉核对</t>
  </si>
  <si>
    <t>https://climeworks.com/direct-air-capture</t>
  </si>
  <si>
    <t>S27</t>
  </si>
  <si>
    <t>Carbon Engineering, Innovation Centre</t>
  </si>
  <si>
    <t>Squamish创新中心2021年建成，采用液体空气接触器，持续研发测试；现官网未提供1500 t/年可比产能值，删除该值。KOH由DOE表核对。</t>
  </si>
  <si>
    <t>研发设施；非商业净移除交付量</t>
  </si>
  <si>
    <t>https://www.carbonengineering.com/innovation-centre</t>
  </si>
  <si>
    <t>S28</t>
  </si>
  <si>
    <t>Heirloom, projects and technology</t>
  </si>
  <si>
    <t>Tracy设施2023投运，设计1000 t/年；石灰石/碳酸钙循环。路易斯安那17,000 t/年为另一个项目，不以网页timeline一句话确认实际投运。</t>
  </si>
  <si>
    <t>tCO₂/年</t>
  </si>
  <si>
    <t>石灰石循环不是固体胺吸附</t>
  </si>
  <si>
    <t>https://www.heirloomcarbon.com/projects</t>
  </si>
  <si>
    <t>S29</t>
  </si>
  <si>
    <t>9</t>
  </si>
  <si>
    <t>Climeworks, Orca</t>
  </si>
  <si>
    <t>Orca，Hellisheiði，冰岛；2021-09投运，设计最多4000 t/年。</t>
  </si>
  <si>
    <t>设计能力；实际年度捕集及净移除未据此推算</t>
  </si>
  <si>
    <t>https://climeworks.com/plant-orca</t>
  </si>
  <si>
    <t>S30</t>
  </si>
  <si>
    <t>Climeworks, Mammoth launch + performance update</t>
  </si>
  <si>
    <t>Mammoth于2024-05开始运行，名义设计36,000 t/年。2026公告仅称升级集装箱性能翻倍/OPEX下降，不代表全厂已达名义产能。</t>
  </si>
  <si>
    <t>企业披露；未把模块结果外推全厂</t>
  </si>
  <si>
    <t>https://climeworks.com/news/climeworks-announces-key-performance-improvements-at-mammoth</t>
  </si>
  <si>
    <t>2026-09-10</t>
  </si>
  <si>
    <t>S31</t>
  </si>
  <si>
    <t>Skytree, Project Concho announcement</t>
  </si>
  <si>
    <t>Concho位于Texas Tom Green County；官方首期30,000 t/年、远期500,000；技术方Skytree，开发方Return Carbon/Verified Carbon。未查到投运或正式取消公告。</t>
  </si>
  <si>
    <t>规划能力；不与另一个2025 EDF合作50万吨项目直接合并</t>
  </si>
  <si>
    <t>https://skytree.tech/en-en/news/worlds-first-fully-wind-powered-dac-park</t>
  </si>
  <si>
    <t>公告正文核验；当前施工/投运未确认</t>
  </si>
  <si>
    <t>2024-11-21</t>
  </si>
  <si>
    <t>S32</t>
  </si>
  <si>
    <t>Sumitomo, investment in Global Thermostat</t>
  </si>
  <si>
    <t>Colorado Commerce City千吨级示范装置2022年底已运行，2023公开展示。现时运行状态未确认。Global Thermostat为企业名，设施改为K-Series Colorado示范。</t>
  </si>
  <si>
    <t>历史约1000 t/年能力；不等于净移除</t>
  </si>
  <si>
    <t>https://www.sumitomocorp.com/en/easia/news/topics/2023/group/20230530</t>
  </si>
  <si>
    <t>历史运行正文核验；2026状态未确认</t>
  </si>
  <si>
    <t>2023-05-30</t>
  </si>
  <si>
    <t>S33</t>
  </si>
  <si>
    <t>1PointFive, STRATOS plant design</t>
  </si>
  <si>
    <t>Ector County STRATOS设计500,000 t/年；原文预期投运日已过时，现状态以2026Q2电话会为准。</t>
  </si>
  <si>
    <t>设计规模与投运进度用不同来源</t>
  </si>
  <si>
    <t>https://www.1pointfive.com/news/occidental-and-blackrock-form-joint-venture-to-develop-stratos</t>
  </si>
  <si>
    <t>2023-11-07</t>
  </si>
  <si>
    <t>10</t>
  </si>
  <si>
    <t>BloombergNEF, Out of Thin Air: The Cost of Scaling Direct Air Capture</t>
  </si>
  <si>
    <t>官方公开图：2025平均DAC成本1065美元/tCO₂，2030预测加权均值487，2050为280。公共页面未说明价格基年、完整运输封存边界与模型权重，不写成净移除成本或售价。</t>
  </si>
  <si>
    <t>USD/tCO₂</t>
  </si>
  <si>
    <t>预测；不同技术资本学习潜力与利用率约束</t>
  </si>
  <si>
    <t>https://about.bnef.com/insights/industry-and-buildings/out-of-thin-air-the-cost-of-scaling-direct-air-capture/</t>
  </si>
  <si>
    <t>公开正文与官方图已核验；付费模型未获取</t>
  </si>
  <si>
    <t>2025-08-06</t>
  </si>
  <si>
    <t>S35</t>
  </si>
  <si>
    <t>11</t>
  </si>
  <si>
    <t>Phlair technology: Hydrolyzer</t>
  </si>
  <si>
    <t>电化学生成酸碱，捕集与再生液体可储存，电解段可随绿电波动调节。只作为研究机会，未扩为所有DAC都能低利用率经济运行。</t>
  </si>
  <si>
    <t>企业路线说明；经济性仍需TEA/LCA验证</t>
  </si>
  <si>
    <t>https://phlair.com/technology</t>
  </si>
  <si>
    <t>S36</t>
  </si>
  <si>
    <t>Tencent Social Value Report 2024, p.91</t>
  </si>
  <si>
    <t>浙江大学DAC研发平台照片及一期入选说明；照片为官方报告所载。</t>
  </si>
  <si>
    <t>真实装置照片，与CarbonX一期支持对应</t>
  </si>
  <si>
    <t>https://static.www.tencent.com/attachments/ssv/2025/tencent-ssv-report-2024.pdf</t>
  </si>
  <si>
    <t>2025</t>
  </si>
  <si>
    <t>S37</t>
  </si>
  <si>
    <t>Origen, Direct Air Capture system</t>
  </si>
  <si>
    <t>官网明确CaO石灰、低强度接触器和零排放石灰窑构成钙碳循环。仅确认路线，不引述未经独立核验性能参数。</t>
  </si>
  <si>
    <t>企业工艺描述</t>
  </si>
  <si>
    <t>https://www.origencarbon.com/zero-emission-lime/direct-air-capture/</t>
  </si>
  <si>
    <t>S38</t>
  </si>
  <si>
    <t>XPRIZE, 2025 winners award announcement / official award image</t>
  </si>
  <si>
    <t>使用官方总冠军颁奖照片；图中Mati Carbon属于增强风化团队，明确标注，不能当作DAC团队照片。</t>
  </si>
  <si>
    <t>竞赛官方活动照片，非DAC项目现场</t>
  </si>
  <si>
    <t>https://www.xprize.org/news/xprize-makes-history-awards-100m-prize-for-groundbreaking-carbon-removal-solutions</t>
  </si>
  <si>
    <t>S39</t>
  </si>
  <si>
    <t>Carbyon official technology: A fast-swing process</t>
  </si>
  <si>
    <t>官网明确空气通过吸附剂，约150°C加热解吸。第7页按捕集机理归固体吸附；DOE历史统计的膜介质标签保留在第8页原数据口径中。</t>
  </si>
  <si>
    <t>官网工艺描述，非独立能耗或成本验证</t>
  </si>
  <si>
    <t>https://www.carbyon.com/technology</t>
  </si>
  <si>
    <t>官网正文已核验</t>
  </si>
  <si>
    <t>项目ID</t>
  </si>
  <si>
    <t>准确项目名称</t>
  </si>
  <si>
    <t>地点</t>
  </si>
  <si>
    <t>开发/技术主体</t>
  </si>
  <si>
    <t>技术路线</t>
  </si>
  <si>
    <t>设计捕集能力 tCO₂/年</t>
  </si>
  <si>
    <t>统一状态</t>
  </si>
  <si>
    <t>证据日期与范围</t>
  </si>
  <si>
    <t>实际年捕集/净移除</t>
  </si>
  <si>
    <t>关联页码</t>
  </si>
  <si>
    <t>P01</t>
  </si>
  <si>
    <t>Orca</t>
  </si>
  <si>
    <t>冰岛 Hellisheiði</t>
  </si>
  <si>
    <t>Climeworks</t>
  </si>
  <si>
    <t>固体吸附</t>
  </si>
  <si>
    <t>运行</t>
  </si>
  <si>
    <t>2021-09投运；官网仍列Operational</t>
  </si>
  <si>
    <t>未公开可比年度值</t>
  </si>
  <si>
    <t>1,9</t>
  </si>
  <si>
    <t>P02</t>
  </si>
  <si>
    <t>Mammoth</t>
  </si>
  <si>
    <t>运行与持续改进</t>
  </si>
  <si>
    <t>2024-05启动；2026-09披露升级模块表现</t>
  </si>
  <si>
    <t>P03</t>
  </si>
  <si>
    <t>Tracy</t>
  </si>
  <si>
    <t>美国 加州 Tracy</t>
  </si>
  <si>
    <t>Heirloom</t>
  </si>
  <si>
    <t>碳酸盐循环</t>
  </si>
  <si>
    <t>2023-11投运；官网列运行设施</t>
  </si>
  <si>
    <t>P04</t>
  </si>
  <si>
    <t>K-Series Colorado示范</t>
  </si>
  <si>
    <t>美国 Colorado</t>
  </si>
  <si>
    <t>Global Thermostat / ZCS</t>
  </si>
  <si>
    <t>历史运行；现状态待确认</t>
  </si>
  <si>
    <t>2022年底运行；2023正式展示</t>
  </si>
  <si>
    <t>未公开</t>
  </si>
  <si>
    <t>P05</t>
  </si>
  <si>
    <t>Squamish创新中心</t>
  </si>
  <si>
    <t>加拿大 British Columbia</t>
  </si>
  <si>
    <t>Carbon Engineering</t>
  </si>
  <si>
    <t>液体KOH</t>
  </si>
  <si>
    <t>研发测试</t>
  </si>
  <si>
    <t>2021建成；官网持续研发描述</t>
  </si>
  <si>
    <t>未公开；删除原1500值</t>
  </si>
  <si>
    <t>P06</t>
  </si>
  <si>
    <t>Project Concho</t>
  </si>
  <si>
    <t>美国 Texas Tom Green County</t>
  </si>
  <si>
    <t>Return Carbon / Verified Carbon；Skytree技术</t>
  </si>
  <si>
    <t>规划；当前进度待确认</t>
  </si>
  <si>
    <t>2024公告首期30000，远期500000</t>
  </si>
  <si>
    <t>P07</t>
  </si>
  <si>
    <t>STRATOS</t>
  </si>
  <si>
    <t>美国 Texas Ector County</t>
  </si>
  <si>
    <t>1PointFive / Carbon Engineering</t>
  </si>
  <si>
    <t>维修及调试</t>
  </si>
  <si>
    <t>2026-08：预期年底全厂调试，2027运行</t>
  </si>
  <si>
    <t>S09,S33</t>
  </si>
  <si>
    <t>P08</t>
  </si>
  <si>
    <t>Deep Sky Alpha</t>
  </si>
  <si>
    <t>加拿大 Alberta Innisfail</t>
  </si>
  <si>
    <t>Deep Sky / 多家技术方</t>
  </si>
  <si>
    <t>多路线</t>
  </si>
  <si>
    <t>运行并首批核证</t>
  </si>
  <si>
    <t>2026-06公告首批Isometric信用</t>
  </si>
  <si>
    <t>本次签发吨数未披露</t>
  </si>
  <si>
    <t>P09</t>
  </si>
  <si>
    <t>Project Cypress</t>
  </si>
  <si>
    <t>美国 Louisiana</t>
  </si>
  <si>
    <t>Battelle；Climeworks / Heirloom</t>
  </si>
  <si>
    <t>固体吸附+碳酸盐循环</t>
  </si>
  <si>
    <t>开发；资助保留消息</t>
  </si>
  <si>
    <t>2026-04保留支持；实际拨付/施工不据此确认</t>
  </si>
  <si>
    <t>S05,S07,S08</t>
  </si>
  <si>
    <t>P10</t>
  </si>
  <si>
    <t>South Texas DAC Hub</t>
  </si>
  <si>
    <t>美国 Texas Kleberg County</t>
  </si>
  <si>
    <t>首厂500000；远期&gt;1000000</t>
  </si>
  <si>
    <t>S06,S07,S08</t>
  </si>
  <si>
    <t>原图企业 / 标识</t>
  </si>
  <si>
    <t>分类（颜色按PPT图例）</t>
  </si>
  <si>
    <t>材料或工艺</t>
  </si>
  <si>
    <t>再生方式</t>
  </si>
  <si>
    <t>来源ID / 链接</t>
  </si>
  <si>
    <t>核验程度</t>
  </si>
  <si>
    <t>分类依据 / 局限</t>
  </si>
  <si>
    <t>胺基结构化固体</t>
  </si>
  <si>
    <t>热/真空</t>
  </si>
  <si>
    <t>DOE 2025历史分类已核验</t>
  </si>
  <si>
    <t>Global Thermostat</t>
  </si>
  <si>
    <t>单体负载吸附剂</t>
  </si>
  <si>
    <t>Skytree</t>
  </si>
  <si>
    <t>固体吸附剂</t>
  </si>
  <si>
    <t>Soletair Power</t>
  </si>
  <si>
    <t>CarbonCapture Inc.</t>
  </si>
  <si>
    <t>模块化固体吸附剂</t>
  </si>
  <si>
    <t>Carbon Collect</t>
  </si>
  <si>
    <t>热/真空或湿度</t>
  </si>
  <si>
    <t>Noya</t>
  </si>
  <si>
    <t>单体固体吸附剂</t>
  </si>
  <si>
    <t>DAC City</t>
  </si>
  <si>
    <t>多孔碳复合陶瓷</t>
  </si>
  <si>
    <t>湿度/热</t>
  </si>
  <si>
    <t>Sustaera</t>
  </si>
  <si>
    <t>热</t>
  </si>
  <si>
    <t>霖和科技</t>
  </si>
  <si>
    <t>离子交换树脂</t>
  </si>
  <si>
    <t>湿度</t>
  </si>
  <si>
    <t>Removr</t>
  </si>
  <si>
    <t>沸石</t>
  </si>
  <si>
    <t>Octavia Carbon</t>
  </si>
  <si>
    <t>Aircapture</t>
  </si>
  <si>
    <t>Mosaic Materials / Baker Hughes</t>
  </si>
  <si>
    <t>MOF</t>
  </si>
  <si>
    <t>液体吸收</t>
  </si>
  <si>
    <t>KOH碱液</t>
  </si>
  <si>
    <t>热再生；含钙循环</t>
  </si>
  <si>
    <t>https://www.energy.gov/sites/default/files/2025-01/FECM_Direct%20Air%20Capture%20Definition%20and%20Company%20Analysis%20Report.pdf
https://www.carbonengineering.com/innovation-centre</t>
  </si>
  <si>
    <t>原图NaOH标签改为KOH；主分类按空气侧液体介质</t>
  </si>
  <si>
    <t>Capture6</t>
  </si>
  <si>
    <t>碱液/盐水系统</t>
  </si>
  <si>
    <t>电化学</t>
  </si>
  <si>
    <t>直接储存/矿化为后续过程；不重复计入矿物循环</t>
  </si>
  <si>
    <t>AirMyne</t>
  </si>
  <si>
    <t>低温液体系统</t>
  </si>
  <si>
    <t>Mission Zero</t>
  </si>
  <si>
    <t>水溶液</t>
  </si>
  <si>
    <t>再生方式不等同于新的捕集介质类别</t>
  </si>
  <si>
    <t>Prometheus Fuels</t>
  </si>
  <si>
    <t>液体介质，反应耦合燃料</t>
  </si>
  <si>
    <t>DAC与燃料生产耦合；不自动等于永久CDR</t>
  </si>
  <si>
    <t>CaO/Ca(OH)₂与CaCO₃</t>
  </si>
  <si>
    <t>煅烧</t>
  </si>
  <si>
    <t>https://www.energy.gov/sites/default/files/2025-01/FECM_Direct%20Air%20Capture%20Definition%20and%20Company%20Analysis%20Report.pdf
https://www.heirloomcarbon.com/projects</t>
  </si>
  <si>
    <t>单列黄色；DOE介质统计仍计入Solid</t>
  </si>
  <si>
    <t>Origen</t>
  </si>
  <si>
    <t>石灰/碳酸钙循环</t>
  </si>
  <si>
    <t>只保留碳酸盐循环概括，不给无依据能耗</t>
  </si>
  <si>
    <t>Carbyon</t>
  </si>
  <si>
    <t>薄膜/结构化吸附剂</t>
  </si>
  <si>
    <t>快速热摆动</t>
  </si>
  <si>
    <t>https://www.energy.gov/sites/default/files/2025-01/FECM_Direct%20Air%20Capture%20Definition%20and%20Company%20Analysis%20Report.pdf
https://www.carbyon.com/technology</t>
  </si>
  <si>
    <t>DOE历史表按Membrane介质标签；本页按吸附机理分类，不改写第8页历史统计。</t>
  </si>
  <si>
    <t>Verdox</t>
  </si>
  <si>
    <t>其他：电化学膜</t>
  </si>
  <si>
    <t>醌化学/电活性材料</t>
  </si>
  <si>
    <t>DOE按膜类统计；不与液体电化学路线混计</t>
  </si>
  <si>
    <t>RepAir</t>
  </si>
  <si>
    <t>选择性膜/电极</t>
  </si>
  <si>
    <t>CO2CirculAir</t>
  </si>
  <si>
    <t>其他：膜</t>
  </si>
  <si>
    <t>膜</t>
  </si>
  <si>
    <t>Global Algae</t>
  </si>
  <si>
    <t>多路线/角色另列/待确认</t>
  </si>
  <si>
    <t>未强行分类</t>
  </si>
  <si>
    <t>未确认</t>
  </si>
  <si>
    <t>原稿图；待补一手来源</t>
  </si>
  <si>
    <t>未能确认此标识对应的非光合DAC工艺，不能把藻类光合作用归为工程DAC</t>
  </si>
  <si>
    <t>CSIRO</t>
  </si>
  <si>
    <t>研究机构，可能多路线，不能按单一企业归类</t>
  </si>
  <si>
    <t>Colo Rail</t>
  </si>
  <si>
    <t>原图标识识别为Colo Rail，未查到可靠工艺信息</t>
  </si>
  <si>
    <t>Zenid</t>
  </si>
  <si>
    <t>燃料项目/合作平台，非独立DAC技术公司</t>
  </si>
  <si>
    <t>Sunfire</t>
  </si>
  <si>
    <t>电解及合成燃料技术商，原图不足以认定自研DAC</t>
  </si>
  <si>
    <t>Rolls-Royce</t>
  </si>
  <si>
    <t>工程/能源合作方，原图不足以确认自有单一DAC路线</t>
  </si>
  <si>
    <t>Norsk e-Fuel</t>
  </si>
  <si>
    <t>合成燃料项目开发方，不能将其等同DAC设备商</t>
  </si>
  <si>
    <t>HIF Global</t>
  </si>
  <si>
    <t>合成燃料项目开发方，可合作使用不同DAC技术</t>
  </si>
  <si>
    <t>Orca 黑蚁能源</t>
  </si>
  <si>
    <t>仅凭原图标识未确认工艺；与Climeworks Orca项目分开</t>
  </si>
  <si>
    <t>Carbon Box</t>
  </si>
  <si>
    <t>未查到可靠公开工艺信息</t>
  </si>
  <si>
    <t>指标</t>
  </si>
  <si>
    <t>原始值 / 联动结果</t>
  </si>
  <si>
    <t>数据版本 / 发布日期</t>
  </si>
  <si>
    <t>口径 / 公式说明</t>
  </si>
  <si>
    <t>DOE历史企业总数</t>
  </si>
  <si>
    <t>家</t>
  </si>
  <si>
    <t>原始输入，约数</t>
  </si>
  <si>
    <t>浓缩CO₂企业</t>
  </si>
  <si>
    <t>原始输入</t>
  </si>
  <si>
    <t>反应耦合企业</t>
  </si>
  <si>
    <t>直接储存企业</t>
  </si>
  <si>
    <t>分类合计</t>
  </si>
  <si>
    <t>公式：3类合计</t>
  </si>
  <si>
    <t>分类与总数差</t>
  </si>
  <si>
    <t>公式：应为0</t>
  </si>
  <si>
    <t>介质信息缺失</t>
  </si>
  <si>
    <t>介质统计有效分母</t>
  </si>
  <si>
    <t>公式：总数-缺失</t>
  </si>
  <si>
    <t>介质信息覆盖率</t>
  </si>
  <si>
    <t>公式：有效分母/总数</t>
  </si>
  <si>
    <t>美国总部</t>
  </si>
  <si>
    <t>报告Figure1</t>
  </si>
  <si>
    <t>英国总部</t>
  </si>
  <si>
    <t>加拿大总部</t>
  </si>
  <si>
    <t>德国总部</t>
  </si>
  <si>
    <t>荷兰总部</t>
  </si>
  <si>
    <t>中国总部</t>
  </si>
  <si>
    <t>报告Figure1，收录数并非全国总数</t>
  </si>
  <si>
    <t>其他国家</t>
  </si>
  <si>
    <t>公式：总数-已列6国；不展开原图疑似重复标签</t>
  </si>
  <si>
    <t>国家图合计</t>
  </si>
  <si>
    <t>公式：应为142</t>
  </si>
  <si>
    <t>固体介质报告占比</t>
  </si>
  <si>
    <t>取整比例；不反推精确企业家数</t>
  </si>
  <si>
    <t>液体介质报告占比</t>
  </si>
  <si>
    <t>取整比例</t>
  </si>
  <si>
    <t>膜报告占比</t>
  </si>
  <si>
    <t>低温无介质报告占比</t>
  </si>
  <si>
    <t>介质占比合计</t>
  </si>
  <si>
    <t>公式校验；与120分母同时使用</t>
  </si>
  <si>
    <t>IEA NZE 2030下限</t>
  </si>
  <si>
    <t>原文&gt;85；仅以85画量级下限</t>
  </si>
  <si>
    <t>IEA NZE 2050</t>
  </si>
  <si>
    <t>原文around980；非当前预测</t>
  </si>
  <si>
    <t>IEA2030换算</t>
  </si>
  <si>
    <t>公式：Mt×10⁶</t>
  </si>
  <si>
    <t>IEA2050换算</t>
  </si>
  <si>
    <t>BNEF 2025估计</t>
  </si>
  <si>
    <t>公开平均成本；价格基年未披露</t>
  </si>
  <si>
    <t>BNEF 2030预测</t>
  </si>
  <si>
    <t>预测加权平均；非信用售价</t>
  </si>
  <si>
    <t>BNEF 2050预测</t>
  </si>
  <si>
    <t>2025至2030预测降幅</t>
  </si>
  <si>
    <t>公式计算；并非确定将实现</t>
  </si>
  <si>
    <t>2025至2050预测降幅</t>
  </si>
  <si>
    <t>公式计算</t>
  </si>
  <si>
    <t>DAC ITC 2022–2035</t>
  </si>
  <si>
    <t>合格捕集设备，完整费率</t>
  </si>
  <si>
    <t>DAC ITC 2036–2040</t>
  </si>
  <si>
    <t>运输封存ITC 2022–2035</t>
  </si>
  <si>
    <t>合格支出，完整费率</t>
  </si>
  <si>
    <t>运输封存ITC 2036–2040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</si>
</sst>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7">
    <font>
      <sz val="11"/>
      <name val="Carlito"/>
    </font>
    <font>
      <sz val="11"/>
      <name val="Noto Sans CJK SC"/>
    </font>
    <font>
      <b/>
      <sz val="11"/>
      <color rgb="FFFFFFFF"/>
      <name val="Noto Sans CJK SC"/>
    </font>
    <font>
      <sz val="11"/>
      <color rgb="FF2161A2"/>
      <name val="Noto Sans CJK SC"/>
    </font>
    <font>
      <sz val="11"/>
      <color rgb="FF172C3B"/>
      <name val="Noto Sans CJK SC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B5580"/>
      </patternFill>
    </fill>
    <fill>
      <patternFill patternType="solid">
        <fgColor rgb="FFEFF5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0" borderId="0" xfId="1" applyNumberFormat="1" applyFont="1" applyFill="1" applyBorder="1" applyAlignment="1">
      <alignment vertical="top" wrapText="1"/>
    </xf>
    <xf numFmtId="0" fontId="2" fillId="2" borderId="0" xfId="1" applyNumberFormat="1" applyFont="1" applyFill="1" applyBorder="1" applyAlignment="1">
      <alignment vertical="top" wrapText="1"/>
    </xf>
    <xf numFmtId="0" fontId="1" fillId="3" borderId="0" xfId="1" applyNumberFormat="1" applyFont="1" applyFill="1" applyBorder="1" applyAlignment="1">
      <alignment vertical="top" wrapText="1"/>
    </xf>
    <xf numFmtId="3" fontId="3" fillId="0" borderId="0" xfId="1" applyNumberFormat="1" applyFont="1" applyFill="1" applyBorder="1" applyAlignment="1">
      <alignment vertical="top" wrapText="1"/>
    </xf>
    <xf numFmtId="3" fontId="3" fillId="3" borderId="0" xfId="1" applyNumberFormat="1" applyFont="1" applyFill="1" applyBorder="1" applyAlignment="1">
      <alignment vertical="top" wrapText="1"/>
    </xf>
    <xf numFmtId="10" fontId="3" fillId="0" borderId="0" xfId="1" applyNumberFormat="1" applyFont="1" applyFill="1" applyBorder="1" applyAlignment="1">
      <alignment vertical="top" wrapText="1"/>
    </xf>
    <xf numFmtId="10" fontId="3" fillId="3" borderId="0" xfId="1" applyNumberFormat="1" applyFont="1" applyFill="1" applyBorder="1" applyAlignment="1">
      <alignment vertical="top" wrapText="1"/>
    </xf>
    <xf numFmtId="3" fontId="4" fillId="0" borderId="0" xfId="1" applyNumberFormat="1" applyFont="1" applyFill="1" applyBorder="1" applyAlignment="1">
      <alignment vertical="top" wrapText="1"/>
    </xf>
    <xf numFmtId="3" fontId="4" fillId="3" borderId="0" xfId="1" applyNumberFormat="1" applyFont="1" applyFill="1" applyBorder="1" applyAlignment="1">
      <alignment vertical="top" wrapText="1"/>
    </xf>
    <xf numFmtId="10" fontId="4" fillId="0" borderId="0" xfId="1" applyNumberFormat="1" applyFont="1" applyFill="1" applyBorder="1" applyAlignment="1">
      <alignment vertical="top" wrapText="1"/>
    </xf>
    <xf numFmtId="10" fontId="4" fillId="3" borderId="0" xfId="1" applyNumberFormat="1" applyFont="1" applyFill="1" applyBorder="1" applyAlignment="1">
      <alignment vertical="top" wrapText="1"/>
    </xf>
    <xf numFmtId="176" fontId="1" fillId="0" borderId="0" xfId="1" applyNumberFormat="1" applyFont="1" applyFill="1" applyBorder="1" applyAlignment="1">
      <alignment vertical="top" wrapText="1"/>
    </xf>
    <xf numFmtId="176" fontId="1" fillId="3" borderId="0" xfId="1" applyNumberFormat="1" applyFont="1" applyFill="1" applyBorder="1" applyAlignment="1">
      <alignment vertical="top" wrapText="1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showGridLines="0" workbookViewId="0">
      <pane ySplit="1" topLeftCell="A8" activePane="bottomLeft" state="frozen"/>
      <selection pane="bottomLeft" activeCell="E2" sqref="E2"/>
    </sheetView>
  </sheetViews>
  <sheetFormatPr defaultRowHeight="14.25"/>
  <cols>
    <col min="1" max="1" width="8" customWidth="1"/>
    <col min="2" max="2" width="34" customWidth="1"/>
    <col min="3" max="3" width="90" customWidth="1"/>
    <col min="4" max="4" width="24" customWidth="1"/>
    <col min="5" max="5" width="70" customWidth="1"/>
  </cols>
  <sheetData>
    <row r="1" spans="1:5" ht="32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11.95" customHeight="1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111.95" customHeight="1">
      <c r="A3" s="3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ht="111.95" customHeight="1">
      <c r="A4" s="1">
        <v>3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ht="111.95" customHeight="1">
      <c r="A5" s="3">
        <v>4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ht="111.95" customHeight="1">
      <c r="A6" s="1">
        <v>5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 ht="111.95" customHeight="1">
      <c r="A7" s="3">
        <v>6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5" ht="111.95" customHeight="1">
      <c r="A8" s="1">
        <v>7</v>
      </c>
      <c r="B8" s="1" t="s">
        <v>29</v>
      </c>
      <c r="C8" s="1" t="s">
        <v>30</v>
      </c>
      <c r="D8" s="1" t="s">
        <v>31</v>
      </c>
      <c r="E8" s="1" t="s">
        <v>32</v>
      </c>
    </row>
    <row r="9" spans="1:5" ht="111.95" customHeight="1">
      <c r="A9" s="3">
        <v>8</v>
      </c>
      <c r="B9" s="3" t="s">
        <v>33</v>
      </c>
      <c r="C9" s="3" t="s">
        <v>34</v>
      </c>
      <c r="D9" s="3" t="s">
        <v>35</v>
      </c>
      <c r="E9" s="3" t="s">
        <v>36</v>
      </c>
    </row>
    <row r="10" spans="1:5" ht="111.95" customHeight="1">
      <c r="A10" s="1">
        <v>9</v>
      </c>
      <c r="B10" s="1" t="s">
        <v>37</v>
      </c>
      <c r="C10" s="1" t="s">
        <v>38</v>
      </c>
      <c r="D10" s="1" t="s">
        <v>39</v>
      </c>
      <c r="E10" s="1" t="s">
        <v>40</v>
      </c>
    </row>
    <row r="11" spans="1:5" ht="111.95" customHeight="1">
      <c r="A11" s="3">
        <v>10</v>
      </c>
      <c r="B11" s="3" t="s">
        <v>41</v>
      </c>
      <c r="C11" s="3" t="s">
        <v>42</v>
      </c>
      <c r="D11" s="3" t="s">
        <v>43</v>
      </c>
      <c r="E11" s="3" t="s">
        <v>44</v>
      </c>
    </row>
    <row r="12" spans="1:5" ht="111.95" customHeight="1">
      <c r="A12" s="1">
        <v>11</v>
      </c>
      <c r="B12" s="1" t="s">
        <v>45</v>
      </c>
      <c r="C12" s="1" t="s">
        <v>46</v>
      </c>
      <c r="D12" s="1" t="s">
        <v>47</v>
      </c>
      <c r="E12" s="1" t="s">
        <v>48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showGridLines="0" tabSelected="1" workbookViewId="0">
      <pane ySplit="1" topLeftCell="A2" activePane="bottomLeft" state="frozen"/>
      <selection pane="bottomLeft"/>
    </sheetView>
  </sheetViews>
  <sheetFormatPr defaultRowHeight="14.25"/>
  <cols>
    <col min="1" max="1" width="11" customWidth="1"/>
    <col min="2" max="2" width="9" customWidth="1"/>
    <col min="3" max="3" width="55" customWidth="1"/>
    <col min="4" max="4" width="105" customWidth="1"/>
    <col min="5" max="5" width="19" customWidth="1"/>
    <col min="6" max="6" width="76" customWidth="1"/>
    <col min="7" max="7" width="20" customWidth="1"/>
    <col min="8" max="8" width="22" customWidth="1"/>
    <col min="9" max="9" width="20" customWidth="1"/>
    <col min="10" max="10" width="80" customWidth="1"/>
    <col min="11" max="11" width="47" customWidth="1"/>
    <col min="12" max="12" width="25" customWidth="1"/>
    <col min="13" max="13" width="23" customWidth="1"/>
    <col min="14" max="14" width="45" customWidth="1"/>
  </cols>
  <sheetData>
    <row r="1" spans="1:14" ht="32.1" customHeight="1">
      <c r="A1" s="2" t="s">
        <v>49</v>
      </c>
      <c r="B1" s="2" t="s">
        <v>0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</row>
    <row r="2" spans="1:14" ht="105" customHeight="1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/>
      <c r="H2" s="12">
        <v>46267</v>
      </c>
      <c r="I2" s="12">
        <v>46309</v>
      </c>
      <c r="J2" s="1" t="s">
        <v>68</v>
      </c>
      <c r="K2" s="1" t="s">
        <v>69</v>
      </c>
      <c r="L2" s="1" t="s">
        <v>70</v>
      </c>
      <c r="M2" s="1" t="s">
        <v>71</v>
      </c>
      <c r="N2" s="1" t="s">
        <v>72</v>
      </c>
    </row>
    <row r="3" spans="1:14" ht="105" customHeight="1">
      <c r="A3" s="3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/>
      <c r="H3" s="13">
        <v>44652</v>
      </c>
      <c r="I3" s="13">
        <v>46309</v>
      </c>
      <c r="J3" s="3" t="s">
        <v>79</v>
      </c>
      <c r="K3" s="3" t="s">
        <v>69</v>
      </c>
      <c r="L3" s="3" t="s">
        <v>70</v>
      </c>
      <c r="M3" s="3" t="s">
        <v>80</v>
      </c>
      <c r="N3" s="3" t="s">
        <v>81</v>
      </c>
    </row>
    <row r="4" spans="1:14" ht="105" customHeight="1">
      <c r="A4" s="1" t="s">
        <v>11</v>
      </c>
      <c r="B4" s="1" t="s">
        <v>82</v>
      </c>
      <c r="C4" s="1" t="s">
        <v>83</v>
      </c>
      <c r="D4" s="1" t="s">
        <v>84</v>
      </c>
      <c r="E4" s="1" t="s">
        <v>77</v>
      </c>
      <c r="F4" s="1" t="s">
        <v>85</v>
      </c>
      <c r="G4" s="1"/>
      <c r="H4" s="1" t="s">
        <v>86</v>
      </c>
      <c r="I4" s="12">
        <v>46309</v>
      </c>
      <c r="J4" s="1" t="s">
        <v>87</v>
      </c>
      <c r="K4" s="1" t="s">
        <v>69</v>
      </c>
      <c r="L4" s="1" t="s">
        <v>70</v>
      </c>
      <c r="M4" s="1" t="s">
        <v>86</v>
      </c>
      <c r="N4" s="1" t="s">
        <v>88</v>
      </c>
    </row>
    <row r="5" spans="1:14" ht="105" customHeight="1">
      <c r="A5" s="3" t="s">
        <v>89</v>
      </c>
      <c r="B5" s="3" t="s">
        <v>90</v>
      </c>
      <c r="C5" s="3" t="s">
        <v>91</v>
      </c>
      <c r="D5" s="3" t="s">
        <v>92</v>
      </c>
      <c r="E5" s="3" t="s">
        <v>93</v>
      </c>
      <c r="F5" s="3" t="s">
        <v>94</v>
      </c>
      <c r="G5" s="3"/>
      <c r="H5" s="3" t="s">
        <v>95</v>
      </c>
      <c r="I5" s="13">
        <v>46309</v>
      </c>
      <c r="J5" s="3" t="s">
        <v>96</v>
      </c>
      <c r="K5" s="3" t="s">
        <v>69</v>
      </c>
      <c r="L5" s="3" t="s">
        <v>70</v>
      </c>
      <c r="M5" s="3" t="s">
        <v>95</v>
      </c>
      <c r="N5" s="3" t="s">
        <v>72</v>
      </c>
    </row>
    <row r="6" spans="1:14" ht="105" customHeight="1">
      <c r="A6" s="1" t="s">
        <v>97</v>
      </c>
      <c r="B6" s="1" t="s">
        <v>90</v>
      </c>
      <c r="C6" s="1" t="s">
        <v>98</v>
      </c>
      <c r="D6" s="1" t="s">
        <v>99</v>
      </c>
      <c r="E6" s="1" t="s">
        <v>100</v>
      </c>
      <c r="F6" s="1" t="s">
        <v>101</v>
      </c>
      <c r="G6" s="1"/>
      <c r="H6" s="12">
        <v>45378</v>
      </c>
      <c r="I6" s="12">
        <v>46309</v>
      </c>
      <c r="J6" s="1" t="s">
        <v>102</v>
      </c>
      <c r="K6" s="1" t="s">
        <v>69</v>
      </c>
      <c r="L6" s="1" t="s">
        <v>70</v>
      </c>
      <c r="M6" s="1" t="s">
        <v>103</v>
      </c>
      <c r="N6" s="1" t="s">
        <v>72</v>
      </c>
    </row>
    <row r="7" spans="1:14" ht="105" customHeight="1">
      <c r="A7" s="3" t="s">
        <v>104</v>
      </c>
      <c r="B7" s="3" t="s">
        <v>90</v>
      </c>
      <c r="C7" s="3" t="s">
        <v>105</v>
      </c>
      <c r="D7" s="3" t="s">
        <v>106</v>
      </c>
      <c r="E7" s="3" t="s">
        <v>93</v>
      </c>
      <c r="F7" s="3" t="s">
        <v>107</v>
      </c>
      <c r="G7" s="3"/>
      <c r="H7" s="13">
        <v>45547</v>
      </c>
      <c r="I7" s="13">
        <v>46309</v>
      </c>
      <c r="J7" s="3" t="s">
        <v>108</v>
      </c>
      <c r="K7" s="3" t="s">
        <v>69</v>
      </c>
      <c r="L7" s="3" t="s">
        <v>70</v>
      </c>
      <c r="M7" s="3" t="s">
        <v>109</v>
      </c>
      <c r="N7" s="3" t="s">
        <v>72</v>
      </c>
    </row>
    <row r="8" spans="1:14" ht="105" customHeight="1">
      <c r="A8" s="1" t="s">
        <v>110</v>
      </c>
      <c r="B8" s="1" t="s">
        <v>90</v>
      </c>
      <c r="C8" s="1" t="s">
        <v>111</v>
      </c>
      <c r="D8" s="1" t="s">
        <v>112</v>
      </c>
      <c r="E8" s="1" t="s">
        <v>113</v>
      </c>
      <c r="F8" s="1" t="s">
        <v>114</v>
      </c>
      <c r="G8" s="12">
        <v>46128</v>
      </c>
      <c r="H8" s="12">
        <v>46129</v>
      </c>
      <c r="I8" s="12">
        <v>46309</v>
      </c>
      <c r="J8" s="1" t="s">
        <v>115</v>
      </c>
      <c r="K8" s="1" t="s">
        <v>116</v>
      </c>
      <c r="L8" s="1" t="s">
        <v>70</v>
      </c>
      <c r="M8" s="1" t="s">
        <v>117</v>
      </c>
      <c r="N8" s="1" t="s">
        <v>72</v>
      </c>
    </row>
    <row r="9" spans="1:14" ht="105" customHeight="1">
      <c r="A9" s="3" t="s">
        <v>118</v>
      </c>
      <c r="B9" s="3" t="s">
        <v>90</v>
      </c>
      <c r="C9" s="3" t="s">
        <v>119</v>
      </c>
      <c r="D9" s="3" t="s">
        <v>120</v>
      </c>
      <c r="E9" s="3" t="s">
        <v>113</v>
      </c>
      <c r="F9" s="3" t="s">
        <v>121</v>
      </c>
      <c r="G9" s="3"/>
      <c r="H9" s="13">
        <v>46232</v>
      </c>
      <c r="I9" s="13">
        <v>46309</v>
      </c>
      <c r="J9" s="3" t="s">
        <v>122</v>
      </c>
      <c r="K9" s="3" t="s">
        <v>123</v>
      </c>
      <c r="L9" s="3" t="s">
        <v>70</v>
      </c>
      <c r="M9" s="3" t="s">
        <v>124</v>
      </c>
      <c r="N9" s="3" t="s">
        <v>72</v>
      </c>
    </row>
    <row r="10" spans="1:14" ht="105" customHeight="1">
      <c r="A10" s="1" t="s">
        <v>125</v>
      </c>
      <c r="B10" s="1" t="s">
        <v>126</v>
      </c>
      <c r="C10" s="1" t="s">
        <v>127</v>
      </c>
      <c r="D10" s="1" t="s">
        <v>128</v>
      </c>
      <c r="E10" s="1" t="s">
        <v>113</v>
      </c>
      <c r="F10" s="1" t="s">
        <v>129</v>
      </c>
      <c r="G10" s="12">
        <v>46240</v>
      </c>
      <c r="H10" s="12">
        <v>46240</v>
      </c>
      <c r="I10" s="12">
        <v>46309</v>
      </c>
      <c r="J10" s="1" t="s">
        <v>130</v>
      </c>
      <c r="K10" s="1" t="s">
        <v>69</v>
      </c>
      <c r="L10" s="1" t="s">
        <v>70</v>
      </c>
      <c r="M10" s="1" t="s">
        <v>131</v>
      </c>
      <c r="N10" s="1" t="s">
        <v>72</v>
      </c>
    </row>
    <row r="11" spans="1:14" ht="105" customHeight="1">
      <c r="A11" s="3" t="s">
        <v>132</v>
      </c>
      <c r="B11" s="3" t="s">
        <v>133</v>
      </c>
      <c r="C11" s="3" t="s">
        <v>134</v>
      </c>
      <c r="D11" s="3" t="s">
        <v>135</v>
      </c>
      <c r="E11" s="3" t="s">
        <v>113</v>
      </c>
      <c r="F11" s="3" t="s">
        <v>136</v>
      </c>
      <c r="G11" s="13">
        <v>45744</v>
      </c>
      <c r="H11" s="13">
        <v>45890</v>
      </c>
      <c r="I11" s="13">
        <v>46309</v>
      </c>
      <c r="J11" s="3" t="s">
        <v>137</v>
      </c>
      <c r="K11" s="3" t="s">
        <v>138</v>
      </c>
      <c r="L11" s="3" t="s">
        <v>70</v>
      </c>
      <c r="M11" s="3" t="s">
        <v>139</v>
      </c>
      <c r="N11" s="3" t="s">
        <v>72</v>
      </c>
    </row>
    <row r="12" spans="1:14" ht="105" customHeight="1">
      <c r="A12" s="1" t="s">
        <v>140</v>
      </c>
      <c r="B12" s="1" t="s">
        <v>133</v>
      </c>
      <c r="C12" s="1" t="s">
        <v>141</v>
      </c>
      <c r="D12" s="1" t="s">
        <v>142</v>
      </c>
      <c r="E12" s="1" t="s">
        <v>143</v>
      </c>
      <c r="F12" s="1" t="s">
        <v>144</v>
      </c>
      <c r="G12" s="1"/>
      <c r="H12" s="12">
        <v>46133</v>
      </c>
      <c r="I12" s="12">
        <v>46309</v>
      </c>
      <c r="J12" s="1" t="s">
        <v>145</v>
      </c>
      <c r="K12" s="1" t="s">
        <v>69</v>
      </c>
      <c r="L12" s="1" t="s">
        <v>70</v>
      </c>
      <c r="M12" s="1" t="s">
        <v>146</v>
      </c>
      <c r="N12" s="1" t="s">
        <v>72</v>
      </c>
    </row>
    <row r="13" spans="1:14" ht="105" customHeight="1">
      <c r="A13" s="3" t="s">
        <v>147</v>
      </c>
      <c r="B13" s="3" t="s">
        <v>133</v>
      </c>
      <c r="C13" s="3" t="s">
        <v>148</v>
      </c>
      <c r="D13" s="3" t="s">
        <v>149</v>
      </c>
      <c r="E13" s="3" t="s">
        <v>150</v>
      </c>
      <c r="F13" s="3" t="s">
        <v>151</v>
      </c>
      <c r="G13" s="3"/>
      <c r="H13" s="13">
        <v>45609</v>
      </c>
      <c r="I13" s="13">
        <v>46309</v>
      </c>
      <c r="J13" s="3" t="s">
        <v>152</v>
      </c>
      <c r="K13" s="3" t="s">
        <v>69</v>
      </c>
      <c r="L13" s="3" t="s">
        <v>70</v>
      </c>
      <c r="M13" s="3" t="s">
        <v>153</v>
      </c>
      <c r="N13" s="3" t="s">
        <v>72</v>
      </c>
    </row>
    <row r="14" spans="1:14" ht="105" customHeight="1">
      <c r="A14" s="1" t="s">
        <v>154</v>
      </c>
      <c r="B14" s="1" t="s">
        <v>155</v>
      </c>
      <c r="C14" s="1" t="s">
        <v>156</v>
      </c>
      <c r="D14" s="1" t="s">
        <v>157</v>
      </c>
      <c r="E14" s="1" t="s">
        <v>113</v>
      </c>
      <c r="F14" s="1" t="s">
        <v>158</v>
      </c>
      <c r="G14" s="1"/>
      <c r="H14" s="12">
        <v>46202</v>
      </c>
      <c r="I14" s="12">
        <v>46309</v>
      </c>
      <c r="J14" s="1" t="s">
        <v>159</v>
      </c>
      <c r="K14" s="1" t="s">
        <v>69</v>
      </c>
      <c r="L14" s="1" t="s">
        <v>70</v>
      </c>
      <c r="M14" s="1" t="s">
        <v>160</v>
      </c>
      <c r="N14" s="1" t="s">
        <v>72</v>
      </c>
    </row>
    <row r="15" spans="1:14" ht="105" customHeight="1">
      <c r="A15" s="3" t="s">
        <v>161</v>
      </c>
      <c r="B15" s="3" t="s">
        <v>162</v>
      </c>
      <c r="C15" s="3" t="s">
        <v>163</v>
      </c>
      <c r="D15" s="3" t="s">
        <v>164</v>
      </c>
      <c r="E15" s="3" t="s">
        <v>113</v>
      </c>
      <c r="F15" s="3" t="s">
        <v>165</v>
      </c>
      <c r="G15" s="3"/>
      <c r="H15" s="3" t="s">
        <v>166</v>
      </c>
      <c r="I15" s="13">
        <v>46309</v>
      </c>
      <c r="J15" s="3" t="s">
        <v>167</v>
      </c>
      <c r="K15" s="3" t="s">
        <v>69</v>
      </c>
      <c r="L15" s="3" t="s">
        <v>70</v>
      </c>
      <c r="M15" s="3" t="s">
        <v>166</v>
      </c>
      <c r="N15" s="3" t="s">
        <v>72</v>
      </c>
    </row>
    <row r="16" spans="1:14" ht="105" customHeight="1">
      <c r="A16" s="1" t="s">
        <v>168</v>
      </c>
      <c r="B16" s="1" t="s">
        <v>162</v>
      </c>
      <c r="C16" s="1" t="s">
        <v>169</v>
      </c>
      <c r="D16" s="1" t="s">
        <v>170</v>
      </c>
      <c r="E16" s="1" t="s">
        <v>113</v>
      </c>
      <c r="F16" s="1" t="s">
        <v>171</v>
      </c>
      <c r="G16" s="1"/>
      <c r="H16" s="1"/>
      <c r="I16" s="12">
        <v>46309</v>
      </c>
      <c r="J16" s="1" t="s">
        <v>172</v>
      </c>
      <c r="K16" s="1" t="s">
        <v>69</v>
      </c>
      <c r="L16" s="1" t="s">
        <v>70</v>
      </c>
      <c r="M16" s="1" t="s">
        <v>173</v>
      </c>
      <c r="N16" s="1" t="s">
        <v>72</v>
      </c>
    </row>
    <row r="17" spans="1:14" ht="105" customHeight="1">
      <c r="A17" s="3" t="s">
        <v>174</v>
      </c>
      <c r="B17" s="3" t="s">
        <v>162</v>
      </c>
      <c r="C17" s="3" t="s">
        <v>175</v>
      </c>
      <c r="D17" s="3" t="s">
        <v>176</v>
      </c>
      <c r="E17" s="3" t="s">
        <v>113</v>
      </c>
      <c r="F17" s="3" t="s">
        <v>177</v>
      </c>
      <c r="G17" s="3"/>
      <c r="H17" s="3" t="s">
        <v>178</v>
      </c>
      <c r="I17" s="13">
        <v>46309</v>
      </c>
      <c r="J17" s="3" t="s">
        <v>179</v>
      </c>
      <c r="K17" s="3" t="s">
        <v>69</v>
      </c>
      <c r="L17" s="3" t="s">
        <v>70</v>
      </c>
      <c r="M17" s="3" t="s">
        <v>178</v>
      </c>
      <c r="N17" s="3" t="s">
        <v>72</v>
      </c>
    </row>
    <row r="18" spans="1:14" ht="105" customHeight="1">
      <c r="A18" s="1" t="s">
        <v>180</v>
      </c>
      <c r="B18" s="1" t="s">
        <v>162</v>
      </c>
      <c r="C18" s="1" t="s">
        <v>181</v>
      </c>
      <c r="D18" s="1" t="s">
        <v>182</v>
      </c>
      <c r="E18" s="1" t="s">
        <v>113</v>
      </c>
      <c r="F18" s="1" t="s">
        <v>183</v>
      </c>
      <c r="G18" s="1"/>
      <c r="H18" s="12">
        <v>46056</v>
      </c>
      <c r="I18" s="12">
        <v>46309</v>
      </c>
      <c r="J18" s="1" t="s">
        <v>184</v>
      </c>
      <c r="K18" s="1" t="s">
        <v>69</v>
      </c>
      <c r="L18" s="1" t="s">
        <v>70</v>
      </c>
      <c r="M18" s="1" t="s">
        <v>185</v>
      </c>
      <c r="N18" s="1" t="s">
        <v>72</v>
      </c>
    </row>
    <row r="19" spans="1:14" ht="105" customHeight="1">
      <c r="A19" s="3" t="s">
        <v>186</v>
      </c>
      <c r="B19" s="3" t="s">
        <v>162</v>
      </c>
      <c r="C19" s="3" t="s">
        <v>187</v>
      </c>
      <c r="D19" s="3" t="s">
        <v>188</v>
      </c>
      <c r="E19" s="3" t="s">
        <v>113</v>
      </c>
      <c r="F19" s="3" t="s">
        <v>189</v>
      </c>
      <c r="G19" s="3"/>
      <c r="H19" s="13">
        <v>46232</v>
      </c>
      <c r="I19" s="13">
        <v>46309</v>
      </c>
      <c r="J19" s="3" t="s">
        <v>190</v>
      </c>
      <c r="K19" s="3" t="s">
        <v>69</v>
      </c>
      <c r="L19" s="3" t="s">
        <v>70</v>
      </c>
      <c r="M19" s="3" t="s">
        <v>124</v>
      </c>
      <c r="N19" s="3" t="s">
        <v>72</v>
      </c>
    </row>
    <row r="20" spans="1:14" ht="105" customHeight="1">
      <c r="A20" s="1" t="s">
        <v>191</v>
      </c>
      <c r="B20" s="1" t="s">
        <v>192</v>
      </c>
      <c r="C20" s="1" t="s">
        <v>193</v>
      </c>
      <c r="D20" s="1" t="s">
        <v>194</v>
      </c>
      <c r="E20" s="1" t="s">
        <v>100</v>
      </c>
      <c r="F20" s="1" t="s">
        <v>195</v>
      </c>
      <c r="G20" s="1"/>
      <c r="H20" s="12">
        <v>45770</v>
      </c>
      <c r="I20" s="12">
        <v>46309</v>
      </c>
      <c r="J20" s="1" t="s">
        <v>196</v>
      </c>
      <c r="K20" s="1" t="s">
        <v>69</v>
      </c>
      <c r="L20" s="1" t="s">
        <v>70</v>
      </c>
      <c r="M20" s="1" t="s">
        <v>197</v>
      </c>
      <c r="N20" s="1" t="s">
        <v>72</v>
      </c>
    </row>
    <row r="21" spans="1:14" ht="105" customHeight="1">
      <c r="A21" s="3" t="s">
        <v>198</v>
      </c>
      <c r="B21" s="3" t="s">
        <v>192</v>
      </c>
      <c r="C21" s="3" t="s">
        <v>199</v>
      </c>
      <c r="D21" s="3" t="s">
        <v>200</v>
      </c>
      <c r="E21" s="3" t="s">
        <v>201</v>
      </c>
      <c r="F21" s="3" t="s">
        <v>202</v>
      </c>
      <c r="G21" s="3"/>
      <c r="H21" s="13">
        <v>45435</v>
      </c>
      <c r="I21" s="13">
        <v>46309</v>
      </c>
      <c r="J21" s="3" t="s">
        <v>203</v>
      </c>
      <c r="K21" s="3" t="s">
        <v>69</v>
      </c>
      <c r="L21" s="3" t="s">
        <v>70</v>
      </c>
      <c r="M21" s="3" t="s">
        <v>204</v>
      </c>
      <c r="N21" s="3" t="s">
        <v>72</v>
      </c>
    </row>
    <row r="22" spans="1:14" ht="105" customHeight="1">
      <c r="A22" s="1" t="s">
        <v>205</v>
      </c>
      <c r="B22" s="1" t="s">
        <v>192</v>
      </c>
      <c r="C22" s="1" t="s">
        <v>206</v>
      </c>
      <c r="D22" s="1" t="s">
        <v>207</v>
      </c>
      <c r="E22" s="1" t="s">
        <v>113</v>
      </c>
      <c r="F22" s="1" t="s">
        <v>208</v>
      </c>
      <c r="G22" s="1"/>
      <c r="H22" s="12">
        <v>45611</v>
      </c>
      <c r="I22" s="12">
        <v>46309</v>
      </c>
      <c r="J22" s="1" t="s">
        <v>209</v>
      </c>
      <c r="K22" s="1" t="s">
        <v>69</v>
      </c>
      <c r="L22" s="1" t="s">
        <v>70</v>
      </c>
      <c r="M22" s="1" t="s">
        <v>210</v>
      </c>
      <c r="N22" s="1" t="s">
        <v>72</v>
      </c>
    </row>
    <row r="23" spans="1:14" ht="105" customHeight="1">
      <c r="A23" s="3" t="s">
        <v>211</v>
      </c>
      <c r="B23" s="3" t="s">
        <v>192</v>
      </c>
      <c r="C23" s="3" t="s">
        <v>212</v>
      </c>
      <c r="D23" s="3" t="s">
        <v>213</v>
      </c>
      <c r="E23" s="3" t="s">
        <v>100</v>
      </c>
      <c r="F23" s="3" t="s">
        <v>214</v>
      </c>
      <c r="G23" s="3"/>
      <c r="H23" s="13">
        <v>46197</v>
      </c>
      <c r="I23" s="13">
        <v>46309</v>
      </c>
      <c r="J23" s="3" t="s">
        <v>215</v>
      </c>
      <c r="K23" s="3" t="s">
        <v>69</v>
      </c>
      <c r="L23" s="3" t="s">
        <v>70</v>
      </c>
      <c r="M23" s="3" t="s">
        <v>216</v>
      </c>
      <c r="N23" s="3" t="s">
        <v>72</v>
      </c>
    </row>
    <row r="24" spans="1:14" ht="105" customHeight="1">
      <c r="A24" s="1" t="s">
        <v>217</v>
      </c>
      <c r="B24" s="1" t="s">
        <v>192</v>
      </c>
      <c r="C24" s="1" t="s">
        <v>218</v>
      </c>
      <c r="D24" s="1" t="s">
        <v>219</v>
      </c>
      <c r="E24" s="1" t="s">
        <v>100</v>
      </c>
      <c r="F24" s="1" t="s">
        <v>220</v>
      </c>
      <c r="G24" s="1"/>
      <c r="H24" s="12">
        <v>45279</v>
      </c>
      <c r="I24" s="12">
        <v>46309</v>
      </c>
      <c r="J24" s="1" t="s">
        <v>221</v>
      </c>
      <c r="K24" s="1" t="s">
        <v>222</v>
      </c>
      <c r="L24" s="1" t="s">
        <v>70</v>
      </c>
      <c r="M24" s="1" t="s">
        <v>223</v>
      </c>
      <c r="N24" s="1" t="s">
        <v>72</v>
      </c>
    </row>
    <row r="25" spans="1:14" ht="105" customHeight="1">
      <c r="A25" s="3" t="s">
        <v>224</v>
      </c>
      <c r="B25" s="3" t="s">
        <v>225</v>
      </c>
      <c r="C25" s="3" t="s">
        <v>226</v>
      </c>
      <c r="D25" s="3" t="s">
        <v>227</v>
      </c>
      <c r="E25" s="3" t="s">
        <v>113</v>
      </c>
      <c r="F25" s="3" t="s">
        <v>228</v>
      </c>
      <c r="G25" s="3"/>
      <c r="H25" s="3"/>
      <c r="I25" s="13">
        <v>46309</v>
      </c>
      <c r="J25" s="3" t="s">
        <v>229</v>
      </c>
      <c r="K25" s="3" t="s">
        <v>230</v>
      </c>
      <c r="L25" s="3" t="s">
        <v>70</v>
      </c>
      <c r="M25" s="3" t="s">
        <v>231</v>
      </c>
      <c r="N25" s="3" t="s">
        <v>72</v>
      </c>
    </row>
    <row r="26" spans="1:14" ht="105" customHeight="1">
      <c r="A26" s="1" t="s">
        <v>35</v>
      </c>
      <c r="B26" s="1" t="s">
        <v>232</v>
      </c>
      <c r="C26" s="1" t="s">
        <v>233</v>
      </c>
      <c r="D26" s="1" t="s">
        <v>234</v>
      </c>
      <c r="E26" s="1" t="s">
        <v>235</v>
      </c>
      <c r="F26" s="1" t="s">
        <v>236</v>
      </c>
      <c r="G26" s="1"/>
      <c r="H26" s="1" t="s">
        <v>237</v>
      </c>
      <c r="I26" s="12">
        <v>46309</v>
      </c>
      <c r="J26" s="1" t="s">
        <v>238</v>
      </c>
      <c r="K26" s="1" t="s">
        <v>239</v>
      </c>
      <c r="L26" s="1" t="s">
        <v>70</v>
      </c>
      <c r="M26" s="1" t="s">
        <v>237</v>
      </c>
      <c r="N26" s="1" t="s">
        <v>240</v>
      </c>
    </row>
    <row r="27" spans="1:14" ht="105" customHeight="1">
      <c r="A27" s="3" t="s">
        <v>241</v>
      </c>
      <c r="B27" s="3" t="s">
        <v>242</v>
      </c>
      <c r="C27" s="3" t="s">
        <v>243</v>
      </c>
      <c r="D27" s="3" t="s">
        <v>244</v>
      </c>
      <c r="E27" s="3" t="s">
        <v>113</v>
      </c>
      <c r="F27" s="3" t="s">
        <v>245</v>
      </c>
      <c r="G27" s="3"/>
      <c r="H27" s="3"/>
      <c r="I27" s="13">
        <v>46309</v>
      </c>
      <c r="J27" s="3" t="s">
        <v>246</v>
      </c>
      <c r="K27" s="3" t="s">
        <v>69</v>
      </c>
      <c r="L27" s="3" t="s">
        <v>70</v>
      </c>
      <c r="M27" s="3" t="s">
        <v>173</v>
      </c>
      <c r="N27" s="3" t="s">
        <v>72</v>
      </c>
    </row>
    <row r="28" spans="1:14" ht="105" customHeight="1">
      <c r="A28" s="1" t="s">
        <v>247</v>
      </c>
      <c r="B28" s="1" t="s">
        <v>242</v>
      </c>
      <c r="C28" s="1" t="s">
        <v>248</v>
      </c>
      <c r="D28" s="1" t="s">
        <v>249</v>
      </c>
      <c r="E28" s="1" t="s">
        <v>113</v>
      </c>
      <c r="F28" s="1" t="s">
        <v>250</v>
      </c>
      <c r="G28" s="1"/>
      <c r="H28" s="1"/>
      <c r="I28" s="12">
        <v>46309</v>
      </c>
      <c r="J28" s="1" t="s">
        <v>251</v>
      </c>
      <c r="K28" s="1" t="s">
        <v>69</v>
      </c>
      <c r="L28" s="1" t="s">
        <v>70</v>
      </c>
      <c r="M28" s="1" t="s">
        <v>173</v>
      </c>
      <c r="N28" s="1" t="s">
        <v>72</v>
      </c>
    </row>
    <row r="29" spans="1:14" ht="105" customHeight="1">
      <c r="A29" s="3" t="s">
        <v>252</v>
      </c>
      <c r="B29" s="3" t="s">
        <v>242</v>
      </c>
      <c r="C29" s="3" t="s">
        <v>253</v>
      </c>
      <c r="D29" s="3" t="s">
        <v>254</v>
      </c>
      <c r="E29" s="3" t="s">
        <v>255</v>
      </c>
      <c r="F29" s="3" t="s">
        <v>256</v>
      </c>
      <c r="G29" s="3"/>
      <c r="H29" s="3"/>
      <c r="I29" s="13">
        <v>46309</v>
      </c>
      <c r="J29" s="3" t="s">
        <v>257</v>
      </c>
      <c r="K29" s="3" t="s">
        <v>69</v>
      </c>
      <c r="L29" s="3" t="s">
        <v>70</v>
      </c>
      <c r="M29" s="3" t="s">
        <v>173</v>
      </c>
      <c r="N29" s="3" t="s">
        <v>72</v>
      </c>
    </row>
    <row r="30" spans="1:14" ht="105" customHeight="1">
      <c r="A30" s="1" t="s">
        <v>258</v>
      </c>
      <c r="B30" s="1" t="s">
        <v>259</v>
      </c>
      <c r="C30" s="1" t="s">
        <v>260</v>
      </c>
      <c r="D30" s="1" t="s">
        <v>261</v>
      </c>
      <c r="E30" s="1" t="s">
        <v>255</v>
      </c>
      <c r="F30" s="1" t="s">
        <v>262</v>
      </c>
      <c r="G30" s="12">
        <v>44447</v>
      </c>
      <c r="H30" s="1"/>
      <c r="I30" s="12">
        <v>46309</v>
      </c>
      <c r="J30" s="1" t="s">
        <v>263</v>
      </c>
      <c r="K30" s="1" t="s">
        <v>69</v>
      </c>
      <c r="L30" s="1" t="s">
        <v>70</v>
      </c>
      <c r="M30" s="1" t="s">
        <v>173</v>
      </c>
      <c r="N30" s="1" t="s">
        <v>72</v>
      </c>
    </row>
    <row r="31" spans="1:14" ht="105" customHeight="1">
      <c r="A31" s="3" t="s">
        <v>264</v>
      </c>
      <c r="B31" s="3" t="s">
        <v>259</v>
      </c>
      <c r="C31" s="3" t="s">
        <v>265</v>
      </c>
      <c r="D31" s="3" t="s">
        <v>266</v>
      </c>
      <c r="E31" s="3" t="s">
        <v>255</v>
      </c>
      <c r="F31" s="3" t="s">
        <v>267</v>
      </c>
      <c r="G31" s="3"/>
      <c r="H31" s="13">
        <v>46275</v>
      </c>
      <c r="I31" s="13">
        <v>46309</v>
      </c>
      <c r="J31" s="3" t="s">
        <v>268</v>
      </c>
      <c r="K31" s="3" t="s">
        <v>69</v>
      </c>
      <c r="L31" s="3" t="s">
        <v>70</v>
      </c>
      <c r="M31" s="3" t="s">
        <v>269</v>
      </c>
      <c r="N31" s="3" t="s">
        <v>72</v>
      </c>
    </row>
    <row r="32" spans="1:14" ht="105" customHeight="1">
      <c r="A32" s="1" t="s">
        <v>270</v>
      </c>
      <c r="B32" s="1" t="s">
        <v>259</v>
      </c>
      <c r="C32" s="1" t="s">
        <v>271</v>
      </c>
      <c r="D32" s="1" t="s">
        <v>272</v>
      </c>
      <c r="E32" s="1" t="s">
        <v>255</v>
      </c>
      <c r="F32" s="1" t="s">
        <v>273</v>
      </c>
      <c r="G32" s="1"/>
      <c r="H32" s="12">
        <v>45617</v>
      </c>
      <c r="I32" s="12">
        <v>46309</v>
      </c>
      <c r="J32" s="1" t="s">
        <v>274</v>
      </c>
      <c r="K32" s="1" t="s">
        <v>275</v>
      </c>
      <c r="L32" s="1" t="s">
        <v>70</v>
      </c>
      <c r="M32" s="1" t="s">
        <v>276</v>
      </c>
      <c r="N32" s="1" t="s">
        <v>72</v>
      </c>
    </row>
    <row r="33" spans="1:14" ht="105" customHeight="1">
      <c r="A33" s="3" t="s">
        <v>277</v>
      </c>
      <c r="B33" s="3" t="s">
        <v>259</v>
      </c>
      <c r="C33" s="3" t="s">
        <v>278</v>
      </c>
      <c r="D33" s="3" t="s">
        <v>279</v>
      </c>
      <c r="E33" s="3" t="s">
        <v>255</v>
      </c>
      <c r="F33" s="3" t="s">
        <v>280</v>
      </c>
      <c r="G33" s="3"/>
      <c r="H33" s="13">
        <v>45076</v>
      </c>
      <c r="I33" s="13">
        <v>46309</v>
      </c>
      <c r="J33" s="3" t="s">
        <v>281</v>
      </c>
      <c r="K33" s="3" t="s">
        <v>282</v>
      </c>
      <c r="L33" s="3" t="s">
        <v>70</v>
      </c>
      <c r="M33" s="3" t="s">
        <v>283</v>
      </c>
      <c r="N33" s="3" t="s">
        <v>72</v>
      </c>
    </row>
    <row r="34" spans="1:14" ht="105" customHeight="1">
      <c r="A34" s="1" t="s">
        <v>284</v>
      </c>
      <c r="B34" s="1" t="s">
        <v>259</v>
      </c>
      <c r="C34" s="1" t="s">
        <v>285</v>
      </c>
      <c r="D34" s="1" t="s">
        <v>286</v>
      </c>
      <c r="E34" s="1" t="s">
        <v>255</v>
      </c>
      <c r="F34" s="1" t="s">
        <v>287</v>
      </c>
      <c r="G34" s="1"/>
      <c r="H34" s="12">
        <v>45237</v>
      </c>
      <c r="I34" s="12">
        <v>46309</v>
      </c>
      <c r="J34" s="1" t="s">
        <v>288</v>
      </c>
      <c r="K34" s="1" t="s">
        <v>69</v>
      </c>
      <c r="L34" s="1" t="s">
        <v>70</v>
      </c>
      <c r="M34" s="1" t="s">
        <v>289</v>
      </c>
      <c r="N34" s="1" t="s">
        <v>72</v>
      </c>
    </row>
    <row r="35" spans="1:14" ht="105" customHeight="1">
      <c r="A35" s="3" t="s">
        <v>43</v>
      </c>
      <c r="B35" s="3" t="s">
        <v>290</v>
      </c>
      <c r="C35" s="3" t="s">
        <v>291</v>
      </c>
      <c r="D35" s="3" t="s">
        <v>292</v>
      </c>
      <c r="E35" s="3" t="s">
        <v>293</v>
      </c>
      <c r="F35" s="3" t="s">
        <v>294</v>
      </c>
      <c r="G35" s="3"/>
      <c r="H35" s="13">
        <v>45875</v>
      </c>
      <c r="I35" s="13">
        <v>46309</v>
      </c>
      <c r="J35" s="3" t="s">
        <v>295</v>
      </c>
      <c r="K35" s="3" t="s">
        <v>296</v>
      </c>
      <c r="L35" s="3" t="s">
        <v>70</v>
      </c>
      <c r="M35" s="3" t="s">
        <v>297</v>
      </c>
      <c r="N35" s="3" t="s">
        <v>72</v>
      </c>
    </row>
    <row r="36" spans="1:14" ht="105" customHeight="1">
      <c r="A36" s="1" t="s">
        <v>298</v>
      </c>
      <c r="B36" s="1" t="s">
        <v>299</v>
      </c>
      <c r="C36" s="1" t="s">
        <v>300</v>
      </c>
      <c r="D36" s="1" t="s">
        <v>301</v>
      </c>
      <c r="E36" s="1" t="s">
        <v>113</v>
      </c>
      <c r="F36" s="1" t="s">
        <v>302</v>
      </c>
      <c r="G36" s="1"/>
      <c r="H36" s="1"/>
      <c r="I36" s="12">
        <v>46309</v>
      </c>
      <c r="J36" s="1" t="s">
        <v>303</v>
      </c>
      <c r="K36" s="1" t="s">
        <v>69</v>
      </c>
      <c r="L36" s="1" t="s">
        <v>70</v>
      </c>
      <c r="M36" s="1" t="s">
        <v>173</v>
      </c>
      <c r="N36" s="1" t="s">
        <v>72</v>
      </c>
    </row>
    <row r="37" spans="1:14" ht="105" customHeight="1">
      <c r="A37" s="3" t="s">
        <v>304</v>
      </c>
      <c r="B37" s="3" t="s">
        <v>192</v>
      </c>
      <c r="C37" s="3" t="s">
        <v>305</v>
      </c>
      <c r="D37" s="3" t="s">
        <v>306</v>
      </c>
      <c r="E37" s="3" t="s">
        <v>113</v>
      </c>
      <c r="F37" s="3" t="s">
        <v>307</v>
      </c>
      <c r="G37" s="3"/>
      <c r="H37" s="3"/>
      <c r="I37" s="13">
        <v>46309</v>
      </c>
      <c r="J37" s="3" t="s">
        <v>308</v>
      </c>
      <c r="K37" s="3" t="s">
        <v>69</v>
      </c>
      <c r="L37" s="3" t="s">
        <v>70</v>
      </c>
      <c r="M37" s="3" t="s">
        <v>309</v>
      </c>
      <c r="N37" s="3" t="s">
        <v>72</v>
      </c>
    </row>
    <row r="38" spans="1:14" ht="105" customHeight="1">
      <c r="A38" s="1" t="s">
        <v>310</v>
      </c>
      <c r="B38" s="1" t="s">
        <v>225</v>
      </c>
      <c r="C38" s="1" t="s">
        <v>311</v>
      </c>
      <c r="D38" s="1" t="s">
        <v>312</v>
      </c>
      <c r="E38" s="1" t="s">
        <v>113</v>
      </c>
      <c r="F38" s="1" t="s">
        <v>313</v>
      </c>
      <c r="G38" s="1"/>
      <c r="H38" s="1"/>
      <c r="I38" s="12">
        <v>46309</v>
      </c>
      <c r="J38" s="1" t="s">
        <v>314</v>
      </c>
      <c r="K38" s="1" t="s">
        <v>69</v>
      </c>
      <c r="L38" s="1" t="s">
        <v>70</v>
      </c>
      <c r="M38" s="1" t="s">
        <v>173</v>
      </c>
      <c r="N38" s="1" t="s">
        <v>72</v>
      </c>
    </row>
    <row r="39" spans="1:14" ht="105" customHeight="1">
      <c r="A39" s="3" t="s">
        <v>315</v>
      </c>
      <c r="B39" s="3" t="s">
        <v>192</v>
      </c>
      <c r="C39" s="3" t="s">
        <v>316</v>
      </c>
      <c r="D39" s="3" t="s">
        <v>317</v>
      </c>
      <c r="E39" s="3" t="s">
        <v>113</v>
      </c>
      <c r="F39" s="3" t="s">
        <v>318</v>
      </c>
      <c r="G39" s="3"/>
      <c r="H39" s="13">
        <v>45770</v>
      </c>
      <c r="I39" s="13">
        <v>46309</v>
      </c>
      <c r="J39" s="3" t="s">
        <v>319</v>
      </c>
      <c r="K39" s="3" t="s">
        <v>69</v>
      </c>
      <c r="L39" s="3" t="s">
        <v>70</v>
      </c>
      <c r="M39" s="3" t="s">
        <v>197</v>
      </c>
      <c r="N39" s="3" t="s">
        <v>72</v>
      </c>
    </row>
    <row r="40" spans="1:14" ht="105" customHeight="1">
      <c r="A40" s="1" t="s">
        <v>320</v>
      </c>
      <c r="B40" s="1" t="s">
        <v>225</v>
      </c>
      <c r="C40" s="1" t="s">
        <v>321</v>
      </c>
      <c r="D40" s="1" t="s">
        <v>322</v>
      </c>
      <c r="E40" s="1" t="s">
        <v>113</v>
      </c>
      <c r="F40" s="1" t="s">
        <v>323</v>
      </c>
      <c r="G40" s="1"/>
      <c r="H40" s="1"/>
      <c r="I40" s="12">
        <v>46309</v>
      </c>
      <c r="J40" s="1" t="s">
        <v>324</v>
      </c>
      <c r="K40" s="1" t="s">
        <v>325</v>
      </c>
      <c r="L40" s="1" t="s">
        <v>70</v>
      </c>
      <c r="M40" s="1" t="s">
        <v>173</v>
      </c>
      <c r="N40" s="1" t="s">
        <v>72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1" customWidth="1"/>
    <col min="2" max="2" width="36" customWidth="1"/>
    <col min="3" max="3" width="39" customWidth="1"/>
    <col min="4" max="4" width="58" customWidth="1"/>
    <col min="5" max="5" width="27" customWidth="1"/>
    <col min="6" max="6" width="24" customWidth="1"/>
    <col min="7" max="7" width="38" customWidth="1"/>
    <col min="8" max="8" width="80" customWidth="1"/>
    <col min="9" max="9" width="40" customWidth="1"/>
    <col min="10" max="10" width="24" customWidth="1"/>
    <col min="11" max="11" width="15" customWidth="1"/>
  </cols>
  <sheetData>
    <row r="1" spans="1:11" ht="32.1" customHeight="1">
      <c r="A1" s="2" t="s">
        <v>326</v>
      </c>
      <c r="B1" s="2" t="s">
        <v>327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333</v>
      </c>
      <c r="I1" s="2" t="s">
        <v>334</v>
      </c>
      <c r="J1" s="2" t="s">
        <v>49</v>
      </c>
      <c r="K1" s="2" t="s">
        <v>335</v>
      </c>
    </row>
    <row r="2" spans="1:11" ht="80.099999999999994" customHeight="1">
      <c r="A2" s="1" t="s">
        <v>336</v>
      </c>
      <c r="B2" s="1" t="s">
        <v>337</v>
      </c>
      <c r="C2" s="1" t="s">
        <v>338</v>
      </c>
      <c r="D2" s="1" t="s">
        <v>339</v>
      </c>
      <c r="E2" s="1" t="s">
        <v>340</v>
      </c>
      <c r="F2" s="1">
        <v>4000</v>
      </c>
      <c r="G2" s="1" t="s">
        <v>341</v>
      </c>
      <c r="H2" s="1" t="s">
        <v>342</v>
      </c>
      <c r="I2" s="1" t="s">
        <v>343</v>
      </c>
      <c r="J2" s="1" t="s">
        <v>258</v>
      </c>
      <c r="K2" s="1" t="s">
        <v>344</v>
      </c>
    </row>
    <row r="3" spans="1:11" ht="80.099999999999994" customHeight="1">
      <c r="A3" s="3" t="s">
        <v>345</v>
      </c>
      <c r="B3" s="3" t="s">
        <v>346</v>
      </c>
      <c r="C3" s="3" t="s">
        <v>338</v>
      </c>
      <c r="D3" s="3" t="s">
        <v>339</v>
      </c>
      <c r="E3" s="3" t="s">
        <v>340</v>
      </c>
      <c r="F3" s="3">
        <v>36000</v>
      </c>
      <c r="G3" s="3" t="s">
        <v>347</v>
      </c>
      <c r="H3" s="3" t="s">
        <v>348</v>
      </c>
      <c r="I3" s="3" t="s">
        <v>343</v>
      </c>
      <c r="J3" s="3" t="s">
        <v>264</v>
      </c>
      <c r="K3" s="3" t="s">
        <v>259</v>
      </c>
    </row>
    <row r="4" spans="1:11" ht="80.099999999999994" customHeight="1">
      <c r="A4" s="1" t="s">
        <v>349</v>
      </c>
      <c r="B4" s="1" t="s">
        <v>350</v>
      </c>
      <c r="C4" s="1" t="s">
        <v>351</v>
      </c>
      <c r="D4" s="1" t="s">
        <v>352</v>
      </c>
      <c r="E4" s="1" t="s">
        <v>353</v>
      </c>
      <c r="F4" s="1">
        <v>1000</v>
      </c>
      <c r="G4" s="1" t="s">
        <v>341</v>
      </c>
      <c r="H4" s="1" t="s">
        <v>354</v>
      </c>
      <c r="I4" s="1" t="s">
        <v>343</v>
      </c>
      <c r="J4" s="1" t="s">
        <v>252</v>
      </c>
      <c r="K4" s="1" t="s">
        <v>259</v>
      </c>
    </row>
    <row r="5" spans="1:11" ht="80.099999999999994" customHeight="1">
      <c r="A5" s="3" t="s">
        <v>355</v>
      </c>
      <c r="B5" s="3" t="s">
        <v>356</v>
      </c>
      <c r="C5" s="3" t="s">
        <v>357</v>
      </c>
      <c r="D5" s="3" t="s">
        <v>358</v>
      </c>
      <c r="E5" s="3" t="s">
        <v>340</v>
      </c>
      <c r="F5" s="3">
        <v>1000</v>
      </c>
      <c r="G5" s="3" t="s">
        <v>359</v>
      </c>
      <c r="H5" s="3" t="s">
        <v>360</v>
      </c>
      <c r="I5" s="3" t="s">
        <v>361</v>
      </c>
      <c r="J5" s="3" t="s">
        <v>277</v>
      </c>
      <c r="K5" s="3" t="s">
        <v>259</v>
      </c>
    </row>
    <row r="6" spans="1:11" ht="80.099999999999994" customHeight="1">
      <c r="A6" s="1" t="s">
        <v>362</v>
      </c>
      <c r="B6" s="1" t="s">
        <v>363</v>
      </c>
      <c r="C6" s="1" t="s">
        <v>364</v>
      </c>
      <c r="D6" s="1" t="s">
        <v>365</v>
      </c>
      <c r="E6" s="1" t="s">
        <v>366</v>
      </c>
      <c r="F6" s="1"/>
      <c r="G6" s="1" t="s">
        <v>367</v>
      </c>
      <c r="H6" s="1" t="s">
        <v>368</v>
      </c>
      <c r="I6" s="1" t="s">
        <v>369</v>
      </c>
      <c r="J6" s="1" t="s">
        <v>247</v>
      </c>
      <c r="K6" s="1" t="s">
        <v>259</v>
      </c>
    </row>
    <row r="7" spans="1:11" ht="80.099999999999994" customHeight="1">
      <c r="A7" s="3" t="s">
        <v>370</v>
      </c>
      <c r="B7" s="3" t="s">
        <v>371</v>
      </c>
      <c r="C7" s="3" t="s">
        <v>372</v>
      </c>
      <c r="D7" s="3" t="s">
        <v>373</v>
      </c>
      <c r="E7" s="3" t="s">
        <v>340</v>
      </c>
      <c r="F7" s="3">
        <v>30000</v>
      </c>
      <c r="G7" s="3" t="s">
        <v>374</v>
      </c>
      <c r="H7" s="3" t="s">
        <v>375</v>
      </c>
      <c r="I7" s="3" t="s">
        <v>361</v>
      </c>
      <c r="J7" s="3" t="s">
        <v>270</v>
      </c>
      <c r="K7" s="3" t="s">
        <v>259</v>
      </c>
    </row>
    <row r="8" spans="1:11" ht="80.099999999999994" customHeight="1">
      <c r="A8" s="1" t="s">
        <v>376</v>
      </c>
      <c r="B8" s="1" t="s">
        <v>377</v>
      </c>
      <c r="C8" s="1" t="s">
        <v>378</v>
      </c>
      <c r="D8" s="1" t="s">
        <v>379</v>
      </c>
      <c r="E8" s="1" t="s">
        <v>366</v>
      </c>
      <c r="F8" s="1">
        <v>500000</v>
      </c>
      <c r="G8" s="1" t="s">
        <v>380</v>
      </c>
      <c r="H8" s="1" t="s">
        <v>381</v>
      </c>
      <c r="I8" s="1" t="s">
        <v>361</v>
      </c>
      <c r="J8" s="1" t="s">
        <v>382</v>
      </c>
      <c r="K8" s="1" t="s">
        <v>126</v>
      </c>
    </row>
    <row r="9" spans="1:11" ht="80.099999999999994" customHeight="1">
      <c r="A9" s="3" t="s">
        <v>383</v>
      </c>
      <c r="B9" s="3" t="s">
        <v>384</v>
      </c>
      <c r="C9" s="3" t="s">
        <v>385</v>
      </c>
      <c r="D9" s="3" t="s">
        <v>386</v>
      </c>
      <c r="E9" s="3" t="s">
        <v>387</v>
      </c>
      <c r="F9" s="3"/>
      <c r="G9" s="3" t="s">
        <v>388</v>
      </c>
      <c r="H9" s="3" t="s">
        <v>389</v>
      </c>
      <c r="I9" s="3" t="s">
        <v>390</v>
      </c>
      <c r="J9" s="3" t="s">
        <v>154</v>
      </c>
      <c r="K9" s="3" t="s">
        <v>155</v>
      </c>
    </row>
    <row r="10" spans="1:11" ht="80.099999999999994" customHeight="1">
      <c r="A10" s="1" t="s">
        <v>391</v>
      </c>
      <c r="B10" s="1" t="s">
        <v>392</v>
      </c>
      <c r="C10" s="1" t="s">
        <v>393</v>
      </c>
      <c r="D10" s="1" t="s">
        <v>394</v>
      </c>
      <c r="E10" s="1" t="s">
        <v>395</v>
      </c>
      <c r="F10" s="1">
        <v>1000000</v>
      </c>
      <c r="G10" s="1" t="s">
        <v>396</v>
      </c>
      <c r="H10" s="1" t="s">
        <v>397</v>
      </c>
      <c r="I10" s="1" t="s">
        <v>361</v>
      </c>
      <c r="J10" s="1" t="s">
        <v>398</v>
      </c>
      <c r="K10" s="1" t="s">
        <v>90</v>
      </c>
    </row>
    <row r="11" spans="1:11" ht="80.099999999999994" customHeight="1">
      <c r="A11" s="3" t="s">
        <v>399</v>
      </c>
      <c r="B11" s="3" t="s">
        <v>400</v>
      </c>
      <c r="C11" s="3" t="s">
        <v>401</v>
      </c>
      <c r="D11" s="3" t="s">
        <v>379</v>
      </c>
      <c r="E11" s="3" t="s">
        <v>366</v>
      </c>
      <c r="F11" s="3">
        <v>500000</v>
      </c>
      <c r="G11" s="3" t="s">
        <v>396</v>
      </c>
      <c r="H11" s="3" t="s">
        <v>402</v>
      </c>
      <c r="I11" s="3" t="s">
        <v>361</v>
      </c>
      <c r="J11" s="3" t="s">
        <v>403</v>
      </c>
      <c r="K11" s="3" t="s">
        <v>90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37" customWidth="1"/>
    <col min="2" max="2" width="34" customWidth="1"/>
    <col min="3" max="3" width="40" customWidth="1"/>
    <col min="4" max="4" width="30" customWidth="1"/>
    <col min="5" max="5" width="80" customWidth="1"/>
    <col min="6" max="6" width="50" customWidth="1"/>
    <col min="7" max="7" width="90" customWidth="1"/>
  </cols>
  <sheetData>
    <row r="1" spans="1:7" ht="32.1" customHeight="1">
      <c r="A1" s="2" t="s">
        <v>404</v>
      </c>
      <c r="B1" s="2" t="s">
        <v>405</v>
      </c>
      <c r="C1" s="2" t="s">
        <v>406</v>
      </c>
      <c r="D1" s="2" t="s">
        <v>407</v>
      </c>
      <c r="E1" s="2" t="s">
        <v>408</v>
      </c>
      <c r="F1" s="2" t="s">
        <v>409</v>
      </c>
      <c r="G1" s="2" t="s">
        <v>410</v>
      </c>
    </row>
    <row r="2" spans="1:7" ht="69.95" customHeight="1">
      <c r="A2" s="1" t="s">
        <v>339</v>
      </c>
      <c r="B2" s="1" t="s">
        <v>340</v>
      </c>
      <c r="C2" s="1" t="s">
        <v>411</v>
      </c>
      <c r="D2" s="1" t="s">
        <v>412</v>
      </c>
      <c r="E2" s="1" t="s">
        <v>238</v>
      </c>
      <c r="F2" s="1" t="s">
        <v>413</v>
      </c>
      <c r="G2" s="1"/>
    </row>
    <row r="3" spans="1:7" ht="69.95" customHeight="1">
      <c r="A3" s="3" t="s">
        <v>414</v>
      </c>
      <c r="B3" s="3" t="s">
        <v>340</v>
      </c>
      <c r="C3" s="3" t="s">
        <v>415</v>
      </c>
      <c r="D3" s="3" t="s">
        <v>412</v>
      </c>
      <c r="E3" s="3" t="s">
        <v>238</v>
      </c>
      <c r="F3" s="3" t="s">
        <v>413</v>
      </c>
      <c r="G3" s="3"/>
    </row>
    <row r="4" spans="1:7" ht="69.95" customHeight="1">
      <c r="A4" s="1" t="s">
        <v>416</v>
      </c>
      <c r="B4" s="1" t="s">
        <v>340</v>
      </c>
      <c r="C4" s="1" t="s">
        <v>417</v>
      </c>
      <c r="D4" s="1" t="s">
        <v>412</v>
      </c>
      <c r="E4" s="1" t="s">
        <v>238</v>
      </c>
      <c r="F4" s="1" t="s">
        <v>413</v>
      </c>
      <c r="G4" s="1"/>
    </row>
    <row r="5" spans="1:7" ht="69.95" customHeight="1">
      <c r="A5" s="3" t="s">
        <v>418</v>
      </c>
      <c r="B5" s="3" t="s">
        <v>340</v>
      </c>
      <c r="C5" s="3" t="s">
        <v>417</v>
      </c>
      <c r="D5" s="3" t="s">
        <v>412</v>
      </c>
      <c r="E5" s="3" t="s">
        <v>238</v>
      </c>
      <c r="F5" s="3" t="s">
        <v>413</v>
      </c>
      <c r="G5" s="3"/>
    </row>
    <row r="6" spans="1:7" ht="69.95" customHeight="1">
      <c r="A6" s="1" t="s">
        <v>419</v>
      </c>
      <c r="B6" s="1" t="s">
        <v>340</v>
      </c>
      <c r="C6" s="1" t="s">
        <v>420</v>
      </c>
      <c r="D6" s="1" t="s">
        <v>412</v>
      </c>
      <c r="E6" s="1" t="s">
        <v>238</v>
      </c>
      <c r="F6" s="1" t="s">
        <v>413</v>
      </c>
      <c r="G6" s="1"/>
    </row>
    <row r="7" spans="1:7" ht="69.95" customHeight="1">
      <c r="A7" s="3" t="s">
        <v>421</v>
      </c>
      <c r="B7" s="3" t="s">
        <v>340</v>
      </c>
      <c r="C7" s="3" t="s">
        <v>417</v>
      </c>
      <c r="D7" s="3" t="s">
        <v>422</v>
      </c>
      <c r="E7" s="3" t="s">
        <v>238</v>
      </c>
      <c r="F7" s="3" t="s">
        <v>413</v>
      </c>
      <c r="G7" s="3"/>
    </row>
    <row r="8" spans="1:7" ht="69.95" customHeight="1">
      <c r="A8" s="1" t="s">
        <v>423</v>
      </c>
      <c r="B8" s="1" t="s">
        <v>340</v>
      </c>
      <c r="C8" s="1" t="s">
        <v>424</v>
      </c>
      <c r="D8" s="1" t="s">
        <v>412</v>
      </c>
      <c r="E8" s="1" t="s">
        <v>238</v>
      </c>
      <c r="F8" s="1" t="s">
        <v>413</v>
      </c>
      <c r="G8" s="1"/>
    </row>
    <row r="9" spans="1:7" ht="69.95" customHeight="1">
      <c r="A9" s="3" t="s">
        <v>425</v>
      </c>
      <c r="B9" s="3" t="s">
        <v>340</v>
      </c>
      <c r="C9" s="3" t="s">
        <v>426</v>
      </c>
      <c r="D9" s="3" t="s">
        <v>427</v>
      </c>
      <c r="E9" s="3" t="s">
        <v>238</v>
      </c>
      <c r="F9" s="3" t="s">
        <v>413</v>
      </c>
      <c r="G9" s="3"/>
    </row>
    <row r="10" spans="1:7" ht="69.95" customHeight="1">
      <c r="A10" s="1" t="s">
        <v>428</v>
      </c>
      <c r="B10" s="1" t="s">
        <v>340</v>
      </c>
      <c r="C10" s="1" t="s">
        <v>417</v>
      </c>
      <c r="D10" s="1" t="s">
        <v>429</v>
      </c>
      <c r="E10" s="1" t="s">
        <v>238</v>
      </c>
      <c r="F10" s="1" t="s">
        <v>413</v>
      </c>
      <c r="G10" s="1"/>
    </row>
    <row r="11" spans="1:7" ht="69.95" customHeight="1">
      <c r="A11" s="3" t="s">
        <v>430</v>
      </c>
      <c r="B11" s="3" t="s">
        <v>340</v>
      </c>
      <c r="C11" s="3" t="s">
        <v>431</v>
      </c>
      <c r="D11" s="3" t="s">
        <v>432</v>
      </c>
      <c r="E11" s="3" t="s">
        <v>238</v>
      </c>
      <c r="F11" s="3" t="s">
        <v>413</v>
      </c>
      <c r="G11" s="3"/>
    </row>
    <row r="12" spans="1:7" ht="69.95" customHeight="1">
      <c r="A12" s="1" t="s">
        <v>433</v>
      </c>
      <c r="B12" s="1" t="s">
        <v>340</v>
      </c>
      <c r="C12" s="1" t="s">
        <v>434</v>
      </c>
      <c r="D12" s="1" t="s">
        <v>429</v>
      </c>
      <c r="E12" s="1" t="s">
        <v>238</v>
      </c>
      <c r="F12" s="1" t="s">
        <v>413</v>
      </c>
      <c r="G12" s="1"/>
    </row>
    <row r="13" spans="1:7" ht="69.95" customHeight="1">
      <c r="A13" s="3" t="s">
        <v>435</v>
      </c>
      <c r="B13" s="3" t="s">
        <v>340</v>
      </c>
      <c r="C13" s="3" t="s">
        <v>417</v>
      </c>
      <c r="D13" s="3" t="s">
        <v>412</v>
      </c>
      <c r="E13" s="3" t="s">
        <v>238</v>
      </c>
      <c r="F13" s="3" t="s">
        <v>413</v>
      </c>
      <c r="G13" s="3"/>
    </row>
    <row r="14" spans="1:7" ht="69.95" customHeight="1">
      <c r="A14" s="1" t="s">
        <v>436</v>
      </c>
      <c r="B14" s="1" t="s">
        <v>340</v>
      </c>
      <c r="C14" s="1" t="s">
        <v>417</v>
      </c>
      <c r="D14" s="1" t="s">
        <v>429</v>
      </c>
      <c r="E14" s="1" t="s">
        <v>238</v>
      </c>
      <c r="F14" s="1" t="s">
        <v>413</v>
      </c>
      <c r="G14" s="1"/>
    </row>
    <row r="15" spans="1:7" ht="69.95" customHeight="1">
      <c r="A15" s="3" t="s">
        <v>437</v>
      </c>
      <c r="B15" s="3" t="s">
        <v>340</v>
      </c>
      <c r="C15" s="3" t="s">
        <v>438</v>
      </c>
      <c r="D15" s="3" t="s">
        <v>412</v>
      </c>
      <c r="E15" s="3" t="s">
        <v>238</v>
      </c>
      <c r="F15" s="3" t="s">
        <v>413</v>
      </c>
      <c r="G15" s="3"/>
    </row>
    <row r="16" spans="1:7" ht="69.95" customHeight="1">
      <c r="A16" s="1" t="s">
        <v>365</v>
      </c>
      <c r="B16" s="1" t="s">
        <v>439</v>
      </c>
      <c r="C16" s="1" t="s">
        <v>440</v>
      </c>
      <c r="D16" s="1" t="s">
        <v>441</v>
      </c>
      <c r="E16" s="1" t="s">
        <v>442</v>
      </c>
      <c r="F16" s="1" t="s">
        <v>413</v>
      </c>
      <c r="G16" s="1" t="s">
        <v>443</v>
      </c>
    </row>
    <row r="17" spans="1:7" ht="69.95" customHeight="1">
      <c r="A17" s="3" t="s">
        <v>444</v>
      </c>
      <c r="B17" s="3" t="s">
        <v>439</v>
      </c>
      <c r="C17" s="3" t="s">
        <v>445</v>
      </c>
      <c r="D17" s="3" t="s">
        <v>446</v>
      </c>
      <c r="E17" s="3" t="s">
        <v>238</v>
      </c>
      <c r="F17" s="3" t="s">
        <v>413</v>
      </c>
      <c r="G17" s="3" t="s">
        <v>447</v>
      </c>
    </row>
    <row r="18" spans="1:7" ht="69.95" customHeight="1">
      <c r="A18" s="1" t="s">
        <v>448</v>
      </c>
      <c r="B18" s="1" t="s">
        <v>439</v>
      </c>
      <c r="C18" s="1" t="s">
        <v>449</v>
      </c>
      <c r="D18" s="1" t="s">
        <v>429</v>
      </c>
      <c r="E18" s="1" t="s">
        <v>238</v>
      </c>
      <c r="F18" s="1" t="s">
        <v>413</v>
      </c>
      <c r="G18" s="1"/>
    </row>
    <row r="19" spans="1:7" ht="69.95" customHeight="1">
      <c r="A19" s="3" t="s">
        <v>450</v>
      </c>
      <c r="B19" s="3" t="s">
        <v>439</v>
      </c>
      <c r="C19" s="3" t="s">
        <v>451</v>
      </c>
      <c r="D19" s="3" t="s">
        <v>446</v>
      </c>
      <c r="E19" s="3" t="s">
        <v>238</v>
      </c>
      <c r="F19" s="3" t="s">
        <v>413</v>
      </c>
      <c r="G19" s="3" t="s">
        <v>452</v>
      </c>
    </row>
    <row r="20" spans="1:7" ht="69.95" customHeight="1">
      <c r="A20" s="1" t="s">
        <v>453</v>
      </c>
      <c r="B20" s="1" t="s">
        <v>439</v>
      </c>
      <c r="C20" s="1" t="s">
        <v>454</v>
      </c>
      <c r="D20" s="1" t="s">
        <v>446</v>
      </c>
      <c r="E20" s="1" t="s">
        <v>238</v>
      </c>
      <c r="F20" s="1" t="s">
        <v>413</v>
      </c>
      <c r="G20" s="1" t="s">
        <v>455</v>
      </c>
    </row>
    <row r="21" spans="1:7" ht="69.95" customHeight="1">
      <c r="A21" s="3" t="s">
        <v>352</v>
      </c>
      <c r="B21" s="3" t="s">
        <v>353</v>
      </c>
      <c r="C21" s="3" t="s">
        <v>456</v>
      </c>
      <c r="D21" s="3" t="s">
        <v>457</v>
      </c>
      <c r="E21" s="3" t="s">
        <v>458</v>
      </c>
      <c r="F21" s="3" t="s">
        <v>413</v>
      </c>
      <c r="G21" s="3" t="s">
        <v>459</v>
      </c>
    </row>
    <row r="22" spans="1:7" ht="69.95" customHeight="1">
      <c r="A22" s="1" t="s">
        <v>460</v>
      </c>
      <c r="B22" s="1" t="s">
        <v>353</v>
      </c>
      <c r="C22" s="1" t="s">
        <v>461</v>
      </c>
      <c r="D22" s="1" t="s">
        <v>457</v>
      </c>
      <c r="E22" s="1" t="s">
        <v>314</v>
      </c>
      <c r="F22" s="1" t="s">
        <v>325</v>
      </c>
      <c r="G22" s="1" t="s">
        <v>462</v>
      </c>
    </row>
    <row r="23" spans="1:7" ht="69.95" customHeight="1">
      <c r="A23" s="3" t="s">
        <v>463</v>
      </c>
      <c r="B23" s="3" t="s">
        <v>340</v>
      </c>
      <c r="C23" s="3" t="s">
        <v>464</v>
      </c>
      <c r="D23" s="3" t="s">
        <v>465</v>
      </c>
      <c r="E23" s="3" t="s">
        <v>466</v>
      </c>
      <c r="F23" s="3" t="s">
        <v>325</v>
      </c>
      <c r="G23" s="3" t="s">
        <v>467</v>
      </c>
    </row>
    <row r="24" spans="1:7" ht="69.95" customHeight="1">
      <c r="A24" s="1" t="s">
        <v>468</v>
      </c>
      <c r="B24" s="1" t="s">
        <v>469</v>
      </c>
      <c r="C24" s="1" t="s">
        <v>470</v>
      </c>
      <c r="D24" s="1" t="s">
        <v>446</v>
      </c>
      <c r="E24" s="1" t="s">
        <v>238</v>
      </c>
      <c r="F24" s="1" t="s">
        <v>413</v>
      </c>
      <c r="G24" s="1" t="s">
        <v>471</v>
      </c>
    </row>
    <row r="25" spans="1:7" ht="69.95" customHeight="1">
      <c r="A25" s="3" t="s">
        <v>472</v>
      </c>
      <c r="B25" s="3" t="s">
        <v>469</v>
      </c>
      <c r="C25" s="3" t="s">
        <v>473</v>
      </c>
      <c r="D25" s="3" t="s">
        <v>446</v>
      </c>
      <c r="E25" s="3" t="s">
        <v>238</v>
      </c>
      <c r="F25" s="3" t="s">
        <v>413</v>
      </c>
      <c r="G25" s="3"/>
    </row>
    <row r="26" spans="1:7" ht="69.95" customHeight="1">
      <c r="A26" s="1" t="s">
        <v>474</v>
      </c>
      <c r="B26" s="1" t="s">
        <v>475</v>
      </c>
      <c r="C26" s="1" t="s">
        <v>476</v>
      </c>
      <c r="D26" s="1" t="s">
        <v>446</v>
      </c>
      <c r="E26" s="1" t="s">
        <v>238</v>
      </c>
      <c r="F26" s="1" t="s">
        <v>413</v>
      </c>
      <c r="G26" s="1"/>
    </row>
    <row r="27" spans="1:7" ht="69.95" customHeight="1">
      <c r="A27" s="3" t="s">
        <v>477</v>
      </c>
      <c r="B27" s="3" t="s">
        <v>478</v>
      </c>
      <c r="C27" s="3" t="s">
        <v>479</v>
      </c>
      <c r="D27" s="3" t="s">
        <v>480</v>
      </c>
      <c r="E27" s="3" t="s">
        <v>481</v>
      </c>
      <c r="F27" s="3" t="s">
        <v>480</v>
      </c>
      <c r="G27" s="3" t="s">
        <v>482</v>
      </c>
    </row>
    <row r="28" spans="1:7" ht="69.95" customHeight="1">
      <c r="A28" s="1" t="s">
        <v>483</v>
      </c>
      <c r="B28" s="1" t="s">
        <v>478</v>
      </c>
      <c r="C28" s="1" t="s">
        <v>479</v>
      </c>
      <c r="D28" s="1" t="s">
        <v>480</v>
      </c>
      <c r="E28" s="1" t="s">
        <v>481</v>
      </c>
      <c r="F28" s="1" t="s">
        <v>480</v>
      </c>
      <c r="G28" s="1" t="s">
        <v>484</v>
      </c>
    </row>
    <row r="29" spans="1:7" ht="69.95" customHeight="1">
      <c r="A29" s="3" t="s">
        <v>485</v>
      </c>
      <c r="B29" s="3" t="s">
        <v>478</v>
      </c>
      <c r="C29" s="3" t="s">
        <v>479</v>
      </c>
      <c r="D29" s="3" t="s">
        <v>480</v>
      </c>
      <c r="E29" s="3" t="s">
        <v>481</v>
      </c>
      <c r="F29" s="3" t="s">
        <v>480</v>
      </c>
      <c r="G29" s="3" t="s">
        <v>486</v>
      </c>
    </row>
    <row r="30" spans="1:7" ht="69.95" customHeight="1">
      <c r="A30" s="1" t="s">
        <v>487</v>
      </c>
      <c r="B30" s="1" t="s">
        <v>478</v>
      </c>
      <c r="C30" s="1" t="s">
        <v>479</v>
      </c>
      <c r="D30" s="1" t="s">
        <v>480</v>
      </c>
      <c r="E30" s="1" t="s">
        <v>481</v>
      </c>
      <c r="F30" s="1" t="s">
        <v>480</v>
      </c>
      <c r="G30" s="1" t="s">
        <v>488</v>
      </c>
    </row>
    <row r="31" spans="1:7" ht="69.95" customHeight="1">
      <c r="A31" s="3" t="s">
        <v>489</v>
      </c>
      <c r="B31" s="3" t="s">
        <v>478</v>
      </c>
      <c r="C31" s="3" t="s">
        <v>479</v>
      </c>
      <c r="D31" s="3" t="s">
        <v>480</v>
      </c>
      <c r="E31" s="3" t="s">
        <v>481</v>
      </c>
      <c r="F31" s="3" t="s">
        <v>480</v>
      </c>
      <c r="G31" s="3" t="s">
        <v>490</v>
      </c>
    </row>
    <row r="32" spans="1:7" ht="69.95" customHeight="1">
      <c r="A32" s="1" t="s">
        <v>491</v>
      </c>
      <c r="B32" s="1" t="s">
        <v>478</v>
      </c>
      <c r="C32" s="1" t="s">
        <v>479</v>
      </c>
      <c r="D32" s="1" t="s">
        <v>480</v>
      </c>
      <c r="E32" s="1" t="s">
        <v>481</v>
      </c>
      <c r="F32" s="1" t="s">
        <v>480</v>
      </c>
      <c r="G32" s="1" t="s">
        <v>492</v>
      </c>
    </row>
    <row r="33" spans="1:7" ht="69.95" customHeight="1">
      <c r="A33" s="3" t="s">
        <v>493</v>
      </c>
      <c r="B33" s="3" t="s">
        <v>478</v>
      </c>
      <c r="C33" s="3" t="s">
        <v>479</v>
      </c>
      <c r="D33" s="3" t="s">
        <v>480</v>
      </c>
      <c r="E33" s="3" t="s">
        <v>481</v>
      </c>
      <c r="F33" s="3" t="s">
        <v>480</v>
      </c>
      <c r="G33" s="3" t="s">
        <v>494</v>
      </c>
    </row>
    <row r="34" spans="1:7" ht="69.95" customHeight="1">
      <c r="A34" s="1" t="s">
        <v>495</v>
      </c>
      <c r="B34" s="1" t="s">
        <v>478</v>
      </c>
      <c r="C34" s="1" t="s">
        <v>479</v>
      </c>
      <c r="D34" s="1" t="s">
        <v>480</v>
      </c>
      <c r="E34" s="1" t="s">
        <v>481</v>
      </c>
      <c r="F34" s="1" t="s">
        <v>480</v>
      </c>
      <c r="G34" s="1" t="s">
        <v>496</v>
      </c>
    </row>
    <row r="35" spans="1:7" ht="69.95" customHeight="1">
      <c r="A35" s="3" t="s">
        <v>497</v>
      </c>
      <c r="B35" s="3" t="s">
        <v>478</v>
      </c>
      <c r="C35" s="3" t="s">
        <v>479</v>
      </c>
      <c r="D35" s="3" t="s">
        <v>480</v>
      </c>
      <c r="E35" s="3" t="s">
        <v>481</v>
      </c>
      <c r="F35" s="3" t="s">
        <v>480</v>
      </c>
      <c r="G35" s="3" t="s">
        <v>498</v>
      </c>
    </row>
    <row r="36" spans="1:7" ht="69.95" customHeight="1">
      <c r="A36" s="1" t="s">
        <v>499</v>
      </c>
      <c r="B36" s="1" t="s">
        <v>478</v>
      </c>
      <c r="C36" s="1" t="s">
        <v>479</v>
      </c>
      <c r="D36" s="1" t="s">
        <v>480</v>
      </c>
      <c r="E36" s="1" t="s">
        <v>481</v>
      </c>
      <c r="F36" s="1" t="s">
        <v>480</v>
      </c>
      <c r="G36" s="1" t="s">
        <v>500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43" customWidth="1"/>
    <col min="2" max="2" width="24" customWidth="1"/>
    <col min="3" max="3" width="25" customWidth="1"/>
    <col min="4" max="4" width="27" customWidth="1"/>
    <col min="5" max="5" width="15" customWidth="1"/>
    <col min="6" max="6" width="88" customWidth="1"/>
  </cols>
  <sheetData>
    <row r="1" spans="1:6" ht="32.1" customHeight="1">
      <c r="A1" s="2" t="s">
        <v>501</v>
      </c>
      <c r="B1" s="2" t="s">
        <v>502</v>
      </c>
      <c r="C1" s="2" t="s">
        <v>52</v>
      </c>
      <c r="D1" s="2" t="s">
        <v>503</v>
      </c>
      <c r="E1" s="2" t="s">
        <v>49</v>
      </c>
      <c r="F1" s="2" t="s">
        <v>504</v>
      </c>
    </row>
    <row r="2" spans="1:6" ht="36" customHeight="1">
      <c r="A2" s="1" t="s">
        <v>505</v>
      </c>
      <c r="B2" s="4">
        <v>142</v>
      </c>
      <c r="C2" s="1" t="s">
        <v>506</v>
      </c>
      <c r="D2" s="1" t="s">
        <v>237</v>
      </c>
      <c r="E2" s="1" t="s">
        <v>35</v>
      </c>
      <c r="F2" s="1" t="s">
        <v>507</v>
      </c>
    </row>
    <row r="3" spans="1:6" ht="36" customHeight="1">
      <c r="A3" s="3" t="s">
        <v>508</v>
      </c>
      <c r="B3" s="5">
        <v>121</v>
      </c>
      <c r="C3" s="3" t="s">
        <v>506</v>
      </c>
      <c r="D3" s="3" t="s">
        <v>237</v>
      </c>
      <c r="E3" s="3" t="s">
        <v>35</v>
      </c>
      <c r="F3" s="3" t="s">
        <v>509</v>
      </c>
    </row>
    <row r="4" spans="1:6" ht="36" customHeight="1">
      <c r="A4" s="1" t="s">
        <v>510</v>
      </c>
      <c r="B4" s="4">
        <v>13</v>
      </c>
      <c r="C4" s="1" t="s">
        <v>506</v>
      </c>
      <c r="D4" s="1" t="s">
        <v>237</v>
      </c>
      <c r="E4" s="1" t="s">
        <v>35</v>
      </c>
      <c r="F4" s="1" t="s">
        <v>509</v>
      </c>
    </row>
    <row r="5" spans="1:6" ht="36" customHeight="1">
      <c r="A5" s="3" t="s">
        <v>511</v>
      </c>
      <c r="B5" s="5">
        <v>8</v>
      </c>
      <c r="C5" s="3" t="s">
        <v>506</v>
      </c>
      <c r="D5" s="3" t="s">
        <v>237</v>
      </c>
      <c r="E5" s="3" t="s">
        <v>35</v>
      </c>
      <c r="F5" s="3" t="s">
        <v>509</v>
      </c>
    </row>
    <row r="6" spans="1:6" ht="36" customHeight="1">
      <c r="A6" s="1" t="s">
        <v>512</v>
      </c>
      <c r="B6" s="8">
        <f>SUM(B3:B5)</f>
        <v>142</v>
      </c>
      <c r="C6" s="1" t="s">
        <v>506</v>
      </c>
      <c r="D6" s="1" t="s">
        <v>237</v>
      </c>
      <c r="E6" s="1" t="s">
        <v>35</v>
      </c>
      <c r="F6" s="1" t="s">
        <v>513</v>
      </c>
    </row>
    <row r="7" spans="1:6" ht="36" customHeight="1">
      <c r="A7" s="3" t="s">
        <v>514</v>
      </c>
      <c r="B7" s="9">
        <f>B6-B2</f>
        <v>0</v>
      </c>
      <c r="C7" s="3" t="s">
        <v>506</v>
      </c>
      <c r="D7" s="3" t="s">
        <v>237</v>
      </c>
      <c r="E7" s="3" t="s">
        <v>35</v>
      </c>
      <c r="F7" s="3" t="s">
        <v>515</v>
      </c>
    </row>
    <row r="8" spans="1:6" ht="36" customHeight="1">
      <c r="A8" s="1" t="s">
        <v>516</v>
      </c>
      <c r="B8" s="4">
        <v>22</v>
      </c>
      <c r="C8" s="1" t="s">
        <v>506</v>
      </c>
      <c r="D8" s="1" t="s">
        <v>237</v>
      </c>
      <c r="E8" s="1" t="s">
        <v>35</v>
      </c>
      <c r="F8" s="1" t="s">
        <v>509</v>
      </c>
    </row>
    <row r="9" spans="1:6" ht="36" customHeight="1">
      <c r="A9" s="3" t="s">
        <v>517</v>
      </c>
      <c r="B9" s="9">
        <f>B2-B8</f>
        <v>120</v>
      </c>
      <c r="C9" s="3" t="s">
        <v>506</v>
      </c>
      <c r="D9" s="3" t="s">
        <v>237</v>
      </c>
      <c r="E9" s="3" t="s">
        <v>35</v>
      </c>
      <c r="F9" s="3" t="s">
        <v>518</v>
      </c>
    </row>
    <row r="10" spans="1:6" ht="36" customHeight="1">
      <c r="A10" s="1" t="s">
        <v>519</v>
      </c>
      <c r="B10" s="10">
        <f>B9/B2</f>
        <v>0.84507042253521125</v>
      </c>
      <c r="C10" s="1" t="s">
        <v>143</v>
      </c>
      <c r="D10" s="1" t="s">
        <v>237</v>
      </c>
      <c r="E10" s="1" t="s">
        <v>35</v>
      </c>
      <c r="F10" s="1" t="s">
        <v>520</v>
      </c>
    </row>
    <row r="11" spans="1:6" ht="36" customHeight="1">
      <c r="A11" s="3" t="s">
        <v>521</v>
      </c>
      <c r="B11" s="5">
        <v>74</v>
      </c>
      <c r="C11" s="3" t="s">
        <v>506</v>
      </c>
      <c r="D11" s="3" t="s">
        <v>237</v>
      </c>
      <c r="E11" s="3" t="s">
        <v>35</v>
      </c>
      <c r="F11" s="3" t="s">
        <v>522</v>
      </c>
    </row>
    <row r="12" spans="1:6" ht="36" customHeight="1">
      <c r="A12" s="1" t="s">
        <v>523</v>
      </c>
      <c r="B12" s="4">
        <v>9</v>
      </c>
      <c r="C12" s="1" t="s">
        <v>506</v>
      </c>
      <c r="D12" s="1" t="s">
        <v>237</v>
      </c>
      <c r="E12" s="1" t="s">
        <v>35</v>
      </c>
      <c r="F12" s="1" t="s">
        <v>522</v>
      </c>
    </row>
    <row r="13" spans="1:6" ht="36" customHeight="1">
      <c r="A13" s="3" t="s">
        <v>524</v>
      </c>
      <c r="B13" s="5">
        <v>7</v>
      </c>
      <c r="C13" s="3" t="s">
        <v>506</v>
      </c>
      <c r="D13" s="3" t="s">
        <v>237</v>
      </c>
      <c r="E13" s="3" t="s">
        <v>35</v>
      </c>
      <c r="F13" s="3" t="s">
        <v>522</v>
      </c>
    </row>
    <row r="14" spans="1:6" ht="36" customHeight="1">
      <c r="A14" s="1" t="s">
        <v>525</v>
      </c>
      <c r="B14" s="4">
        <v>6</v>
      </c>
      <c r="C14" s="1" t="s">
        <v>506</v>
      </c>
      <c r="D14" s="1" t="s">
        <v>237</v>
      </c>
      <c r="E14" s="1" t="s">
        <v>35</v>
      </c>
      <c r="F14" s="1" t="s">
        <v>522</v>
      </c>
    </row>
    <row r="15" spans="1:6" ht="36" customHeight="1">
      <c r="A15" s="3" t="s">
        <v>526</v>
      </c>
      <c r="B15" s="5">
        <v>5</v>
      </c>
      <c r="C15" s="3" t="s">
        <v>506</v>
      </c>
      <c r="D15" s="3" t="s">
        <v>237</v>
      </c>
      <c r="E15" s="3" t="s">
        <v>35</v>
      </c>
      <c r="F15" s="3" t="s">
        <v>522</v>
      </c>
    </row>
    <row r="16" spans="1:6" ht="36" customHeight="1">
      <c r="A16" s="1" t="s">
        <v>527</v>
      </c>
      <c r="B16" s="4">
        <v>3</v>
      </c>
      <c r="C16" s="1" t="s">
        <v>506</v>
      </c>
      <c r="D16" s="1" t="s">
        <v>237</v>
      </c>
      <c r="E16" s="1" t="s">
        <v>35</v>
      </c>
      <c r="F16" s="1" t="s">
        <v>528</v>
      </c>
    </row>
    <row r="17" spans="1:6" ht="36" customHeight="1">
      <c r="A17" s="3" t="s">
        <v>529</v>
      </c>
      <c r="B17" s="9">
        <f>B2-SUM(B11:B16)</f>
        <v>38</v>
      </c>
      <c r="C17" s="3" t="s">
        <v>506</v>
      </c>
      <c r="D17" s="3" t="s">
        <v>237</v>
      </c>
      <c r="E17" s="3" t="s">
        <v>35</v>
      </c>
      <c r="F17" s="3" t="s">
        <v>530</v>
      </c>
    </row>
    <row r="18" spans="1:6" ht="36" customHeight="1">
      <c r="A18" s="1" t="s">
        <v>531</v>
      </c>
      <c r="B18" s="8">
        <f>SUM(B11:B17)</f>
        <v>142</v>
      </c>
      <c r="C18" s="1" t="s">
        <v>506</v>
      </c>
      <c r="D18" s="1" t="s">
        <v>237</v>
      </c>
      <c r="E18" s="1" t="s">
        <v>35</v>
      </c>
      <c r="F18" s="1" t="s">
        <v>532</v>
      </c>
    </row>
    <row r="19" spans="1:6" ht="36" customHeight="1">
      <c r="A19" s="3" t="s">
        <v>533</v>
      </c>
      <c r="B19" s="7">
        <v>0.65</v>
      </c>
      <c r="C19" s="3" t="s">
        <v>143</v>
      </c>
      <c r="D19" s="3" t="s">
        <v>237</v>
      </c>
      <c r="E19" s="3" t="s">
        <v>35</v>
      </c>
      <c r="F19" s="3" t="s">
        <v>534</v>
      </c>
    </row>
    <row r="20" spans="1:6" ht="36" customHeight="1">
      <c r="A20" s="1" t="s">
        <v>535</v>
      </c>
      <c r="B20" s="6">
        <v>0.27</v>
      </c>
      <c r="C20" s="1" t="s">
        <v>143</v>
      </c>
      <c r="D20" s="1" t="s">
        <v>237</v>
      </c>
      <c r="E20" s="1" t="s">
        <v>35</v>
      </c>
      <c r="F20" s="1" t="s">
        <v>536</v>
      </c>
    </row>
    <row r="21" spans="1:6" ht="36" customHeight="1">
      <c r="A21" s="3" t="s">
        <v>537</v>
      </c>
      <c r="B21" s="7">
        <v>0.06</v>
      </c>
      <c r="C21" s="3" t="s">
        <v>143</v>
      </c>
      <c r="D21" s="3" t="s">
        <v>237</v>
      </c>
      <c r="E21" s="3" t="s">
        <v>35</v>
      </c>
      <c r="F21" s="3" t="s">
        <v>536</v>
      </c>
    </row>
    <row r="22" spans="1:6" ht="36" customHeight="1">
      <c r="A22" s="1" t="s">
        <v>538</v>
      </c>
      <c r="B22" s="6">
        <v>0.02</v>
      </c>
      <c r="C22" s="1" t="s">
        <v>143</v>
      </c>
      <c r="D22" s="1" t="s">
        <v>237</v>
      </c>
      <c r="E22" s="1" t="s">
        <v>35</v>
      </c>
      <c r="F22" s="1" t="s">
        <v>536</v>
      </c>
    </row>
    <row r="23" spans="1:6" ht="36" customHeight="1">
      <c r="A23" s="3" t="s">
        <v>539</v>
      </c>
      <c r="B23" s="11">
        <f>SUM(B19:B22)</f>
        <v>1</v>
      </c>
      <c r="C23" s="3" t="s">
        <v>143</v>
      </c>
      <c r="D23" s="3" t="s">
        <v>237</v>
      </c>
      <c r="E23" s="3" t="s">
        <v>35</v>
      </c>
      <c r="F23" s="3" t="s">
        <v>540</v>
      </c>
    </row>
    <row r="24" spans="1:6" ht="36" customHeight="1">
      <c r="A24" s="1" t="s">
        <v>541</v>
      </c>
      <c r="B24" s="4">
        <v>85</v>
      </c>
      <c r="C24" s="1" t="s">
        <v>77</v>
      </c>
      <c r="D24" s="1" t="s">
        <v>80</v>
      </c>
      <c r="E24" s="1" t="s">
        <v>73</v>
      </c>
      <c r="F24" s="1" t="s">
        <v>542</v>
      </c>
    </row>
    <row r="25" spans="1:6" ht="36" customHeight="1">
      <c r="A25" s="3" t="s">
        <v>543</v>
      </c>
      <c r="B25" s="5">
        <v>980</v>
      </c>
      <c r="C25" s="3" t="s">
        <v>77</v>
      </c>
      <c r="D25" s="3" t="s">
        <v>80</v>
      </c>
      <c r="E25" s="3" t="s">
        <v>73</v>
      </c>
      <c r="F25" s="3" t="s">
        <v>544</v>
      </c>
    </row>
    <row r="26" spans="1:6" ht="36" customHeight="1">
      <c r="A26" s="1" t="s">
        <v>545</v>
      </c>
      <c r="B26" s="8">
        <f>B24*1000000</f>
        <v>85000000</v>
      </c>
      <c r="C26" s="1" t="s">
        <v>255</v>
      </c>
      <c r="D26" s="1" t="s">
        <v>80</v>
      </c>
      <c r="E26" s="1" t="s">
        <v>73</v>
      </c>
      <c r="F26" s="1" t="s">
        <v>546</v>
      </c>
    </row>
    <row r="27" spans="1:6" ht="36" customHeight="1">
      <c r="A27" s="3" t="s">
        <v>547</v>
      </c>
      <c r="B27" s="9">
        <f>B25*1000000</f>
        <v>980000000</v>
      </c>
      <c r="C27" s="3" t="s">
        <v>255</v>
      </c>
      <c r="D27" s="3" t="s">
        <v>80</v>
      </c>
      <c r="E27" s="3" t="s">
        <v>73</v>
      </c>
      <c r="F27" s="3" t="s">
        <v>546</v>
      </c>
    </row>
    <row r="28" spans="1:6" ht="36" customHeight="1">
      <c r="A28" s="1" t="s">
        <v>548</v>
      </c>
      <c r="B28" s="4">
        <v>1065</v>
      </c>
      <c r="C28" s="1" t="s">
        <v>293</v>
      </c>
      <c r="D28" s="1" t="s">
        <v>297</v>
      </c>
      <c r="E28" s="1" t="s">
        <v>43</v>
      </c>
      <c r="F28" s="1" t="s">
        <v>549</v>
      </c>
    </row>
    <row r="29" spans="1:6" ht="36" customHeight="1">
      <c r="A29" s="3" t="s">
        <v>550</v>
      </c>
      <c r="B29" s="5">
        <v>487</v>
      </c>
      <c r="C29" s="3" t="s">
        <v>293</v>
      </c>
      <c r="D29" s="3" t="s">
        <v>297</v>
      </c>
      <c r="E29" s="3" t="s">
        <v>43</v>
      </c>
      <c r="F29" s="3" t="s">
        <v>551</v>
      </c>
    </row>
    <row r="30" spans="1:6" ht="36" customHeight="1">
      <c r="A30" s="1" t="s">
        <v>552</v>
      </c>
      <c r="B30" s="4">
        <v>280</v>
      </c>
      <c r="C30" s="1" t="s">
        <v>293</v>
      </c>
      <c r="D30" s="1" t="s">
        <v>297</v>
      </c>
      <c r="E30" s="1" t="s">
        <v>43</v>
      </c>
      <c r="F30" s="1" t="s">
        <v>551</v>
      </c>
    </row>
    <row r="31" spans="1:6" ht="36" customHeight="1">
      <c r="A31" s="3" t="s">
        <v>553</v>
      </c>
      <c r="B31" s="11">
        <f>1-B29/B28</f>
        <v>0.5427230046948357</v>
      </c>
      <c r="C31" s="3" t="s">
        <v>143</v>
      </c>
      <c r="D31" s="3" t="s">
        <v>297</v>
      </c>
      <c r="E31" s="3" t="s">
        <v>43</v>
      </c>
      <c r="F31" s="3" t="s">
        <v>554</v>
      </c>
    </row>
    <row r="32" spans="1:6" ht="36" customHeight="1">
      <c r="A32" s="1" t="s">
        <v>555</v>
      </c>
      <c r="B32" s="10">
        <f>1-B30/B28</f>
        <v>0.73708920187793425</v>
      </c>
      <c r="C32" s="1" t="s">
        <v>143</v>
      </c>
      <c r="D32" s="1" t="s">
        <v>297</v>
      </c>
      <c r="E32" s="1" t="s">
        <v>43</v>
      </c>
      <c r="F32" s="1" t="s">
        <v>556</v>
      </c>
    </row>
    <row r="33" spans="1:6" ht="36" customHeight="1">
      <c r="A33" s="3" t="s">
        <v>557</v>
      </c>
      <c r="B33" s="7">
        <v>0.6</v>
      </c>
      <c r="C33" s="3" t="s">
        <v>143</v>
      </c>
      <c r="D33" s="3" t="s">
        <v>146</v>
      </c>
      <c r="E33" s="3" t="s">
        <v>140</v>
      </c>
      <c r="F33" s="3" t="s">
        <v>558</v>
      </c>
    </row>
    <row r="34" spans="1:6" ht="36" customHeight="1">
      <c r="A34" s="1" t="s">
        <v>559</v>
      </c>
      <c r="B34" s="6">
        <v>0.3</v>
      </c>
      <c r="C34" s="1" t="s">
        <v>143</v>
      </c>
      <c r="D34" s="1" t="s">
        <v>146</v>
      </c>
      <c r="E34" s="1" t="s">
        <v>140</v>
      </c>
      <c r="F34" s="1" t="s">
        <v>558</v>
      </c>
    </row>
    <row r="35" spans="1:6" ht="36" customHeight="1">
      <c r="A35" s="3" t="s">
        <v>560</v>
      </c>
      <c r="B35" s="7">
        <v>0.375</v>
      </c>
      <c r="C35" s="3" t="s">
        <v>143</v>
      </c>
      <c r="D35" s="3" t="s">
        <v>146</v>
      </c>
      <c r="E35" s="3" t="s">
        <v>140</v>
      </c>
      <c r="F35" s="3" t="s">
        <v>561</v>
      </c>
    </row>
    <row r="36" spans="1:6" ht="36" customHeight="1">
      <c r="A36" s="1" t="s">
        <v>562</v>
      </c>
      <c r="B36" s="6">
        <v>0.1875</v>
      </c>
      <c r="C36" s="1" t="s">
        <v>143</v>
      </c>
      <c r="D36" s="1" t="s">
        <v>146</v>
      </c>
      <c r="E36" s="1" t="s">
        <v>140</v>
      </c>
      <c r="F36" s="1" t="s">
        <v>561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逐页更新说明</vt:lpstr>
      <vt:lpstr>来源核验底表</vt:lpstr>
      <vt:lpstr>项目统一底表</vt:lpstr>
      <vt:lpstr>企业技术对照</vt:lpstr>
      <vt:lpstr>数值与公式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2026-10-14T11:19:28Z</dcterms:created>
  <dcterms:modified xsi:type="dcterms:W3CDTF">2026-10-14T11:19:28Z</dcterms:modified>
</cp:coreProperties>
</file>